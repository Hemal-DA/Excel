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500" activeTab="9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45621"/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3" i="5"/>
  <c r="D4" i="5"/>
  <c r="D5" i="5"/>
  <c r="D2" i="5"/>
  <c r="D3" i="4"/>
  <c r="D4" i="4"/>
  <c r="D5" i="4"/>
  <c r="D2" i="4"/>
  <c r="C3" i="3"/>
  <c r="C4" i="3"/>
  <c r="C5" i="3"/>
  <c r="C6" i="3"/>
  <c r="C2" i="3"/>
  <c r="C3" i="2" l="1"/>
  <c r="C4" i="2"/>
  <c r="C5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<sst xmlns="http://schemas.openxmlformats.org/spreadsheetml/2006/main" count="82" uniqueCount="45">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</sst>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1" width="9.7109375" customWidth="1"/>
    <col min="2" max="2" width="13.140625" customWidth="1"/>
  </cols>
  <sheetData>
    <row r="1" spans="1:4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4" ht="18" thickBot="1" x14ac:dyDescent="0.3">
      <c r="A3" s="3">
        <v>2</v>
      </c>
      <c r="B3" s="3" t="s">
        <v>5</v>
      </c>
      <c r="C3" s="3">
        <v>35</v>
      </c>
      <c r="D3" s="2" t="str">
        <f t="shared" ref="D3:D6" si="0">IF(C3&gt;=40,"pass","fail")</f>
        <v>fail</v>
      </c>
    </row>
    <row r="4" spans="1:4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4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</row>
    <row r="6" spans="1:4" ht="18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12.140625" bestFit="1" customWidth="1"/>
    <col min="2" max="2" width="9" bestFit="1" customWidth="1"/>
    <col min="3" max="3" width="11.85546875" customWidth="1"/>
  </cols>
  <sheetData>
    <row r="1" spans="1:3" ht="52.5" thickBot="1" x14ac:dyDescent="0.3">
      <c r="A1" s="1" t="s">
        <v>9</v>
      </c>
      <c r="B1" s="1" t="s">
        <v>10</v>
      </c>
      <c r="C1" s="1" t="s">
        <v>11</v>
      </c>
    </row>
    <row r="2" spans="1:3" ht="18" thickBot="1" x14ac:dyDescent="0.3">
      <c r="A2" s="2" t="s">
        <v>12</v>
      </c>
      <c r="B2" s="2">
        <v>28000</v>
      </c>
      <c r="C2" s="2" t="str">
        <f>IF(B2&gt;=40000,"bonus","no bonus")</f>
        <v>no bonus</v>
      </c>
    </row>
    <row r="3" spans="1:3" ht="52.5" thickBot="1" x14ac:dyDescent="0.3">
      <c r="A3" s="3" t="s">
        <v>13</v>
      </c>
      <c r="B3" s="3">
        <v>45000</v>
      </c>
      <c r="C3" s="2" t="str">
        <f t="shared" ref="C3:C5" si="0">IF(B3&gt;=40000,"bonus","no bonus")</f>
        <v>bonus</v>
      </c>
    </row>
    <row r="4" spans="1:3" ht="52.5" thickBot="1" x14ac:dyDescent="0.3">
      <c r="A4" s="2" t="s">
        <v>14</v>
      </c>
      <c r="B4" s="2">
        <v>52000</v>
      </c>
      <c r="C4" s="2" t="str">
        <f t="shared" si="0"/>
        <v>bonus</v>
      </c>
    </row>
    <row r="5" spans="1:3" ht="52.5" thickBot="1" x14ac:dyDescent="0.3">
      <c r="A5" s="3" t="s">
        <v>15</v>
      </c>
      <c r="B5" s="3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0" bestFit="1" customWidth="1"/>
    <col min="2" max="2" width="8.140625" bestFit="1" customWidth="1"/>
    <col min="3" max="3" width="8" bestFit="1" customWidth="1"/>
  </cols>
  <sheetData>
    <row r="1" spans="1:3" ht="52.5" thickBot="1" x14ac:dyDescent="0.3">
      <c r="A1" s="1" t="s">
        <v>1</v>
      </c>
      <c r="B1" s="1" t="s">
        <v>2</v>
      </c>
      <c r="C1" s="1" t="s">
        <v>16</v>
      </c>
    </row>
    <row r="2" spans="1:3" ht="18" thickBot="1" x14ac:dyDescent="0.3">
      <c r="A2" s="2" t="s">
        <v>4</v>
      </c>
      <c r="B2" s="2">
        <v>82</v>
      </c>
      <c r="C2" s="2" t="str">
        <f>IF(B2&gt;=75,"A",IF(B2&gt;=60,"B",IF(B2&gt;=40,"c","Fail")))</f>
        <v>A</v>
      </c>
    </row>
    <row r="3" spans="1:3" ht="18" thickBot="1" x14ac:dyDescent="0.3">
      <c r="A3" s="3" t="s">
        <v>5</v>
      </c>
      <c r="B3" s="3">
        <v>67</v>
      </c>
      <c r="C3" s="2" t="str">
        <f t="shared" ref="C3:C6" si="0">IF(B3&gt;=75,"A",IF(B3&gt;=60,"B",IF(B3&gt;=40,"c","Fail")))</f>
        <v>B</v>
      </c>
    </row>
    <row r="4" spans="1:3" ht="18" thickBot="1" x14ac:dyDescent="0.3">
      <c r="A4" s="2" t="s">
        <v>6</v>
      </c>
      <c r="B4" s="2">
        <v>45</v>
      </c>
      <c r="C4" s="2" t="str">
        <f t="shared" si="0"/>
        <v>c</v>
      </c>
    </row>
    <row r="5" spans="1:3" ht="18" thickBot="1" x14ac:dyDescent="0.3">
      <c r="A5" s="3" t="s">
        <v>7</v>
      </c>
      <c r="B5" s="3">
        <v>33</v>
      </c>
      <c r="C5" s="2" t="str">
        <f t="shared" si="0"/>
        <v>Fail</v>
      </c>
    </row>
    <row r="6" spans="1:3" ht="18" thickBot="1" x14ac:dyDescent="0.3">
      <c r="A6" s="2" t="s">
        <v>8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8.42578125" bestFit="1" customWidth="1"/>
    <col min="2" max="2" width="5.5703125" bestFit="1" customWidth="1"/>
    <col min="3" max="3" width="13.42578125" bestFit="1" customWidth="1"/>
    <col min="4" max="4" width="13.5703125" bestFit="1" customWidth="1"/>
  </cols>
  <sheetData>
    <row r="1" spans="1:4" ht="52.5" thickBot="1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ht="18" thickBot="1" x14ac:dyDescent="0.3">
      <c r="A2" s="2" t="s">
        <v>12</v>
      </c>
      <c r="B2" s="2">
        <v>25</v>
      </c>
      <c r="C2" s="2">
        <v>2</v>
      </c>
      <c r="D2" s="2" t="str">
        <f>IF(AND(B2&gt;=21,C2&gt;=1),"Eligble","Not Eligble")</f>
        <v>Eligble</v>
      </c>
    </row>
    <row r="3" spans="1:4" ht="35.25" thickBot="1" x14ac:dyDescent="0.3">
      <c r="A3" s="3" t="s">
        <v>13</v>
      </c>
      <c r="B3" s="3">
        <v>20</v>
      </c>
      <c r="C3" s="3">
        <v>1</v>
      </c>
      <c r="D3" s="2" t="str">
        <f t="shared" ref="D3:D5" si="0">IF(AND(B3&gt;=21,C3&gt;=1),"Eligble","Not Eligble")</f>
        <v>Not Eligble</v>
      </c>
    </row>
    <row r="4" spans="1:4" ht="18" thickBot="1" x14ac:dyDescent="0.3">
      <c r="A4" s="2" t="s">
        <v>14</v>
      </c>
      <c r="B4" s="2">
        <v>30</v>
      </c>
      <c r="C4" s="2">
        <v>5</v>
      </c>
      <c r="D4" s="2" t="str">
        <f t="shared" si="0"/>
        <v>Eligble</v>
      </c>
    </row>
    <row r="5" spans="1:4" ht="18" thickBot="1" x14ac:dyDescent="0.3">
      <c r="A5" s="3" t="s">
        <v>15</v>
      </c>
      <c r="B5" s="3">
        <v>22</v>
      </c>
      <c r="C5" s="3">
        <v>0</v>
      </c>
      <c r="D5" s="2" t="str">
        <f t="shared" si="0"/>
        <v>Not Eligble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10" bestFit="1" customWidth="1"/>
    <col min="2" max="2" width="16.7109375" customWidth="1"/>
    <col min="3" max="3" width="13.7109375" bestFit="1" customWidth="1"/>
    <col min="4" max="4" width="14.140625" bestFit="1" customWidth="1"/>
  </cols>
  <sheetData>
    <row r="1" spans="1:4" ht="69.75" thickBot="1" x14ac:dyDescent="0.3">
      <c r="A1" s="1" t="s">
        <v>1</v>
      </c>
      <c r="B1" s="1" t="s">
        <v>21</v>
      </c>
      <c r="C1" s="1" t="s">
        <v>22</v>
      </c>
      <c r="D1" s="1" t="s">
        <v>20</v>
      </c>
    </row>
    <row r="2" spans="1:4" ht="18" thickBot="1" x14ac:dyDescent="0.3">
      <c r="A2" s="2" t="s">
        <v>4</v>
      </c>
      <c r="B2" s="2">
        <v>85</v>
      </c>
      <c r="C2" s="2" t="s">
        <v>23</v>
      </c>
      <c r="D2" s="2" t="str">
        <f>IF(AND(B2&gt;=75,C2="YES"),"Eligible","Not Eligible")</f>
        <v>Eligible</v>
      </c>
    </row>
    <row r="3" spans="1:4" ht="18" thickBot="1" x14ac:dyDescent="0.3">
      <c r="A3" s="3" t="s">
        <v>5</v>
      </c>
      <c r="B3" s="3">
        <v>72</v>
      </c>
      <c r="C3" s="3" t="s">
        <v>23</v>
      </c>
      <c r="D3" s="2" t="str">
        <f t="shared" ref="D3:D5" si="0">IF(AND(B3&gt;=75,C3="YES"),"Eligible","Not Eligible")</f>
        <v>Not Eligible</v>
      </c>
    </row>
    <row r="4" spans="1:4" ht="18" thickBot="1" x14ac:dyDescent="0.3">
      <c r="A4" s="2" t="s">
        <v>6</v>
      </c>
      <c r="B4" s="2">
        <v>90</v>
      </c>
      <c r="C4" s="2" t="s">
        <v>24</v>
      </c>
      <c r="D4" s="2" t="str">
        <f t="shared" si="0"/>
        <v>Not Eligible</v>
      </c>
    </row>
    <row r="5" spans="1:4" ht="18" thickBot="1" x14ac:dyDescent="0.3">
      <c r="A5" s="3" t="s">
        <v>7</v>
      </c>
      <c r="B5" s="3">
        <v>80</v>
      </c>
      <c r="C5" s="3" t="s">
        <v>23</v>
      </c>
      <c r="D5" s="2" t="str">
        <f t="shared" si="0"/>
        <v>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12.140625" bestFit="1" customWidth="1"/>
    <col min="2" max="2" width="11.42578125" bestFit="1" customWidth="1"/>
    <col min="3" max="3" width="14" bestFit="1" customWidth="1"/>
    <col min="4" max="4" width="13.7109375" bestFit="1" customWidth="1"/>
  </cols>
  <sheetData>
    <row r="1" spans="1:4" ht="69.75" thickBot="1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ht="35.25" thickBot="1" x14ac:dyDescent="0.3">
      <c r="A2" s="2" t="s">
        <v>29</v>
      </c>
      <c r="B2" s="2">
        <v>9000</v>
      </c>
      <c r="C2" s="2" t="s">
        <v>24</v>
      </c>
      <c r="D2" s="2" t="str">
        <f>IF(OR(B2&gt;=10000,C2="YES"),"DISCOUNT","NO DISCOUNT")</f>
        <v>NO DISCOUNT</v>
      </c>
    </row>
    <row r="3" spans="1:4" ht="52.5" thickBot="1" x14ac:dyDescent="0.3">
      <c r="A3" s="3" t="s">
        <v>30</v>
      </c>
      <c r="B3" s="3">
        <v>12000</v>
      </c>
      <c r="C3" s="3" t="s">
        <v>24</v>
      </c>
      <c r="D3" s="2" t="str">
        <f t="shared" ref="D3:D5" si="0">IF(OR(B3&gt;=10000,C3="YES"),"DISCOUNT","NO DISCOUNT")</f>
        <v>DISCOUNT</v>
      </c>
    </row>
    <row r="4" spans="1:4" ht="52.5" thickBot="1" x14ac:dyDescent="0.3">
      <c r="A4" s="2" t="s">
        <v>6</v>
      </c>
      <c r="B4" s="2">
        <v>4000</v>
      </c>
      <c r="C4" s="2" t="s">
        <v>23</v>
      </c>
      <c r="D4" s="2" t="str">
        <f t="shared" si="0"/>
        <v>DISCOUNT</v>
      </c>
    </row>
    <row r="5" spans="1:4" ht="52.5" thickBot="1" x14ac:dyDescent="0.3">
      <c r="A5" s="3" t="s">
        <v>31</v>
      </c>
      <c r="B5" s="3">
        <v>3000</v>
      </c>
      <c r="C5" s="3" t="s">
        <v>24</v>
      </c>
      <c r="D5" s="2" t="str">
        <f t="shared" si="0"/>
        <v>NO DISCOUNT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11.85546875" bestFit="1" customWidth="1"/>
    <col min="2" max="2" width="9" bestFit="1" customWidth="1"/>
    <col min="3" max="3" width="7.5703125" bestFit="1" customWidth="1"/>
    <col min="4" max="4" width="14" bestFit="1" customWidth="1"/>
  </cols>
  <sheetData>
    <row r="1" spans="1:4" ht="35.25" thickBot="1" x14ac:dyDescent="0.3">
      <c r="A1" s="1" t="s">
        <v>32</v>
      </c>
      <c r="B1" s="1" t="s">
        <v>10</v>
      </c>
      <c r="C1" s="1" t="s">
        <v>33</v>
      </c>
      <c r="D1" s="1" t="s">
        <v>34</v>
      </c>
    </row>
    <row r="2" spans="1:4" ht="18" thickBot="1" x14ac:dyDescent="0.3">
      <c r="A2" s="2" t="s">
        <v>12</v>
      </c>
      <c r="B2" s="2">
        <v>35000</v>
      </c>
      <c r="C2" s="2">
        <v>720</v>
      </c>
      <c r="D2" s="2" t="str">
        <f>IF(OR(B2&gt;=400000,C2&gt;=700),"APPROVED","REJECTED")</f>
        <v>APPROVED</v>
      </c>
    </row>
    <row r="3" spans="1:4" ht="35.25" thickBot="1" x14ac:dyDescent="0.3">
      <c r="A3" s="3" t="s">
        <v>13</v>
      </c>
      <c r="B3" s="3">
        <v>25000</v>
      </c>
      <c r="C3" s="3">
        <v>680</v>
      </c>
      <c r="D3" s="2" t="str">
        <f t="shared" ref="D3:D5" si="0">IF(OR(B3&gt;=400000,C3&gt;=700),"APPROVED","REJECTED")</f>
        <v>REJECTED</v>
      </c>
    </row>
    <row r="4" spans="1:4" ht="35.25" thickBot="1" x14ac:dyDescent="0.3">
      <c r="A4" s="2" t="s">
        <v>14</v>
      </c>
      <c r="B4" s="2">
        <v>50000</v>
      </c>
      <c r="C4" s="2">
        <v>650</v>
      </c>
      <c r="D4" s="2" t="str">
        <f t="shared" si="0"/>
        <v>REJECTED</v>
      </c>
    </row>
    <row r="5" spans="1:4" ht="35.25" thickBot="1" x14ac:dyDescent="0.3">
      <c r="A5" s="3" t="s">
        <v>15</v>
      </c>
      <c r="B5" s="3">
        <v>20000</v>
      </c>
      <c r="C5" s="3">
        <v>600</v>
      </c>
      <c r="D5" s="2" t="str">
        <f t="shared" si="0"/>
        <v>REJECTED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9" bestFit="1" customWidth="1"/>
    <col min="2" max="2" width="9.7109375" bestFit="1" customWidth="1"/>
    <col min="3" max="3" width="10" bestFit="1" customWidth="1"/>
  </cols>
  <sheetData>
    <row r="1" spans="1:3" ht="35.25" thickBot="1" x14ac:dyDescent="0.3">
      <c r="A1" s="1" t="s">
        <v>17</v>
      </c>
      <c r="B1" s="1" t="s">
        <v>35</v>
      </c>
      <c r="C1" s="1" t="s">
        <v>36</v>
      </c>
    </row>
    <row r="2" spans="1:3" ht="18" thickBot="1" x14ac:dyDescent="0.3">
      <c r="A2" s="2" t="s">
        <v>4</v>
      </c>
      <c r="B2" s="2" t="b">
        <v>1</v>
      </c>
      <c r="C2" s="2" t="str">
        <f>IF(NOT(B2),"Absent","Present")</f>
        <v>Present</v>
      </c>
    </row>
    <row r="3" spans="1:3" ht="18" thickBot="1" x14ac:dyDescent="0.3">
      <c r="A3" s="3" t="s">
        <v>5</v>
      </c>
      <c r="B3" s="3" t="b">
        <v>0</v>
      </c>
      <c r="C3" s="2" t="str">
        <f t="shared" ref="C3:C5" si="0">IF(NOT(B3),"Absent","Present")</f>
        <v>Absent</v>
      </c>
    </row>
    <row r="4" spans="1:3" ht="18" thickBot="1" x14ac:dyDescent="0.3">
      <c r="A4" s="2" t="s">
        <v>6</v>
      </c>
      <c r="B4" s="2" t="b">
        <v>1</v>
      </c>
      <c r="C4" s="2" t="str">
        <f t="shared" si="0"/>
        <v>Present</v>
      </c>
    </row>
    <row r="5" spans="1:3" ht="18" thickBot="1" x14ac:dyDescent="0.3">
      <c r="A5" s="3" t="s">
        <v>7</v>
      </c>
      <c r="B5" s="3" t="b">
        <v>0</v>
      </c>
      <c r="C5" s="2" t="str">
        <f t="shared" si="0"/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2" width="12.5703125" bestFit="1" customWidth="1"/>
  </cols>
  <sheetData>
    <row r="1" spans="1:3" ht="18" thickBot="1" x14ac:dyDescent="0.3">
      <c r="A1" s="1" t="s">
        <v>37</v>
      </c>
      <c r="B1" s="1" t="s">
        <v>38</v>
      </c>
      <c r="C1" s="1" t="s">
        <v>3</v>
      </c>
    </row>
    <row r="2" spans="1:3" ht="18" thickBot="1" x14ac:dyDescent="0.3">
      <c r="A2" s="2">
        <v>10</v>
      </c>
      <c r="B2" s="2">
        <v>2</v>
      </c>
      <c r="C2" s="2">
        <f>IFERROR(A2/B2,"Invalid")</f>
        <v>5</v>
      </c>
    </row>
    <row r="3" spans="1:3" ht="18" thickBot="1" x14ac:dyDescent="0.3">
      <c r="A3" s="3">
        <v>15</v>
      </c>
      <c r="B3" s="3">
        <v>0</v>
      </c>
      <c r="C3" s="2" t="str">
        <f t="shared" ref="C3:C5" si="0">IFERROR(A3/B3,"Invalid")</f>
        <v>Invalid</v>
      </c>
    </row>
    <row r="4" spans="1:3" ht="18" thickBot="1" x14ac:dyDescent="0.3">
      <c r="A4" s="2">
        <v>20</v>
      </c>
      <c r="B4" s="2">
        <v>5</v>
      </c>
      <c r="C4" s="2">
        <f t="shared" si="0"/>
        <v>4</v>
      </c>
    </row>
    <row r="5" spans="1:3" ht="18" thickBot="1" x14ac:dyDescent="0.3">
      <c r="A5" s="3">
        <v>8</v>
      </c>
      <c r="B5" s="3">
        <v>0</v>
      </c>
      <c r="C5" s="2" t="str">
        <f t="shared" si="0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5" x14ac:dyDescent="0.25"/>
  <cols>
    <col min="1" max="1" width="12.140625" bestFit="1" customWidth="1"/>
    <col min="2" max="2" width="11.5703125" customWidth="1"/>
    <col min="3" max="3" width="14" bestFit="1" customWidth="1"/>
    <col min="4" max="4" width="23.28515625" bestFit="1" customWidth="1"/>
  </cols>
  <sheetData>
    <row r="1" spans="1:4" ht="69.75" thickBot="1" x14ac:dyDescent="0.3">
      <c r="A1" s="1" t="s">
        <v>9</v>
      </c>
      <c r="B1" s="1" t="s">
        <v>39</v>
      </c>
      <c r="C1" s="1" t="s">
        <v>21</v>
      </c>
      <c r="D1" s="1" t="s">
        <v>40</v>
      </c>
    </row>
    <row r="2" spans="1:4" ht="18" thickBot="1" x14ac:dyDescent="0.3">
      <c r="A2" s="2" t="s">
        <v>41</v>
      </c>
      <c r="B2" s="2">
        <v>45</v>
      </c>
      <c r="C2" s="2">
        <v>92</v>
      </c>
      <c r="D2" s="2" t="str">
        <f>IF(AND(C2&gt;=90,B2&gt;=40),"Excellent",IF(C2&gt;=80,"Good","Needs Improvement"))</f>
        <v>Excellent</v>
      </c>
    </row>
    <row r="3" spans="1:4" ht="18" thickBot="1" x14ac:dyDescent="0.3">
      <c r="A3" s="3" t="s">
        <v>42</v>
      </c>
      <c r="B3" s="3">
        <v>38</v>
      </c>
      <c r="C3" s="3">
        <v>85</v>
      </c>
      <c r="D3" s="2" t="str">
        <f t="shared" ref="D3:D5" si="0">IF(AND(C3&gt;=90,B3&gt;=40),"Excellent",IF(C3&gt;=80,"Good","Needs Improvement"))</f>
        <v>Good</v>
      </c>
    </row>
    <row r="4" spans="1:4" ht="18" thickBot="1" x14ac:dyDescent="0.3">
      <c r="A4" s="2" t="s">
        <v>43</v>
      </c>
      <c r="B4" s="2">
        <v>50</v>
      </c>
      <c r="C4" s="2">
        <v>95</v>
      </c>
      <c r="D4" s="2" t="str">
        <f t="shared" si="0"/>
        <v>Excellent</v>
      </c>
    </row>
    <row r="5" spans="1:4" ht="18" thickBot="1" x14ac:dyDescent="0.3">
      <c r="A5" s="3" t="s">
        <v>44</v>
      </c>
      <c r="B5" s="3">
        <v>30</v>
      </c>
      <c r="C5" s="3">
        <v>70</v>
      </c>
      <c r="D5" s="2" t="str">
        <f t="shared" si="0"/>
        <v>Needs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2026-06-24T10:01:46Z</dcterms:created>
  <dcterms:modified xsi:type="dcterms:W3CDTF">2026-06-24T10:56:32Z</dcterms:modified>
</cp:coreProperties>
</file>