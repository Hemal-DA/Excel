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8595" windowHeight="4695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45621"/>
</workbook>
</file>

<file path=xl/calcChain.xml><?xml version="1.0" encoding="utf-8"?>
<calcChain xmlns="http://schemas.openxmlformats.org/spreadsheetml/2006/main">
  <c r="B8" i="10" l="1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7" i="10"/>
  <c r="K7" i="6"/>
  <c r="K6" i="6"/>
  <c r="G8" i="5"/>
</calcChain>
</file>

<file path=xl/sharedStrings.xml><?xml version="1.0" encoding="utf-8"?>
<sst xmlns="http://schemas.openxmlformats.org/spreadsheetml/2006/main" count="439" uniqueCount="151">
  <si>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</si>
  <si>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</si>
  <si>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</si>
  <si>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</si>
  <si>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</si>
  <si>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</si>
  <si>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</si>
  <si>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</si>
  <si>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</si>
  <si>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</si>
  <si>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</si>
  <si>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</si>
  <si>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</si>
  <si>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</si>
  <si>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</si>
  <si>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</si>
  <si>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</si>
  <si>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</si>
  <si>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</si>
  <si>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</si>
  <si>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</si>
  <si>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</si>
  <si>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</si>
  <si>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</si>
  <si>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</si>
  <si>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</si>
  <si>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</si>
  <si>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</si>
  <si>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</si>
  <si>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</si>
  <si>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</si>
  <si>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</si>
  <si>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</si>
  <si>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</si>
  <si>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Total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</si>
  <si>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</si>
  <si>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</si>
  <si>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</si>
  <si>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</si>
  <si>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</si>
  <si>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</si>
  <si>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</si>
  <si>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</si>
  <si>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</si>
  <si>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</si>
  <si>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</si>
  <si>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</si>
  <si>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</si>
  <si>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</si>
  <si>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</si>
  <si>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</si>
  <si>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Lenovo Thinkpad E14 Laptop</t>
  </si>
  <si>
    <t>Laptop Dell Inspiration 15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</si>
  <si>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</si>
  <si>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</si>
  <si>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</si>
  <si>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</si>
  <si>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</si>
  <si>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</si>
  <si>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</si>
  <si>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</si>
  <si>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</si>
  <si>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</si>
  <si>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</si>
  <si>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</si>
  <si>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</si>
  <si>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</si>
  <si>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</si>
  <si>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</si>
  <si>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</si>
  <si>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</si>
  <si>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</si>
  <si>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Employee Name</t>
  </si>
  <si>
    <t>Suresh</t>
  </si>
  <si>
    <t>Meena</t>
  </si>
  <si>
    <t>Karan</t>
  </si>
  <si>
    <t>Ritu</t>
  </si>
  <si>
    <t>Aman</t>
  </si>
  <si>
    <t>Neel</t>
  </si>
  <si>
    <t>Day 1</t>
  </si>
  <si>
    <t>Day 2</t>
  </si>
  <si>
    <t>Day 3</t>
  </si>
  <si>
    <t>Day 4</t>
  </si>
  <si>
    <t>Day 5</t>
  </si>
  <si>
    <t>P</t>
  </si>
  <si>
    <t>A</t>
  </si>
  <si>
    <t>Order ID</t>
  </si>
  <si>
    <t>O101</t>
  </si>
  <si>
    <t>O102</t>
  </si>
  <si>
    <t>O103</t>
  </si>
  <si>
    <t>O104</t>
  </si>
  <si>
    <t>O105</t>
  </si>
  <si>
    <t>O106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</si>
  <si>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</si>
  <si>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</si>
  <si>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</si>
  <si>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</si>
  <si>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</si>
  <si>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</si>
  <si>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</si>
  <si>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</si>
  <si>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</si>
  <si>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</si>
  <si>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</si>
  <si>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</si>
  <si>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</si>
  <si>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</si>
  <si>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</si>
  <si>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</si>
  <si>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</si>
  <si>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</si>
  <si>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</si>
  <si>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</si>
  <si>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</si>
  <si>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</si>
  <si>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</si>
  <si>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</si>
  <si>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</si>
  <si>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</si>
  <si>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</si>
  <si>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</si>
  <si>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</si>
  <si>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</si>
  <si>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</si>
  <si>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Sales </t>
  </si>
  <si>
    <t xml:space="preserve">Total Sales </t>
  </si>
  <si>
    <t>Average Sales</t>
  </si>
  <si>
    <t>Highest Sales</t>
  </si>
  <si>
    <t>Lowest Sales</t>
  </si>
  <si>
    <t>Total Salary Per Department</t>
  </si>
  <si>
    <t>Avg, Salary</t>
  </si>
  <si>
    <t>Count Employees</t>
  </si>
  <si>
    <t>Present</t>
  </si>
  <si>
    <t>Absent</t>
  </si>
  <si>
    <t>No.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</si>
  <si>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</si>
  <si>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</si>
  <si>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</si>
  <si>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</si>
  <si>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</si>
  <si>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</si>
  <si>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</si>
  <si>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</si>
  <si>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</si>
  <si>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</si>
  <si>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</si>
  <si>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</si>
  <si>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</si>
  <si>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</si>
  <si>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Above 10,000</t>
  </si>
  <si>
    <t>Below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</si>
</sst>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&quot;$&quot;#,##0.00"/>
  </numFmts>
  <fonts count="13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18"/>
      <color theme="3"/>
      <name val="Arial Black"/>
      <family val="2"/>
    </font>
    <font>
      <b/>
      <u/>
      <sz val="12"/>
      <color rgb="FF1F2328"/>
      <name val="Segoe UI"/>
      <family val="2"/>
    </font>
    <font>
      <b/>
      <sz val="14"/>
      <color theme="1"/>
      <name val="Calibri"/>
      <family val="2"/>
      <scheme val="minor"/>
    </font>
    <font>
      <sz val="14"/>
      <color theme="1"/>
      <name val="Segoe UI"/>
      <family val="2"/>
    </font>
    <font>
      <sz val="12"/>
      <color theme="1"/>
      <name val="Segeo u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164" fontId="4" fillId="0" borderId="8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165" fontId="4" fillId="0" borderId="10" xfId="0" applyNumberFormat="1" applyFont="1" applyFill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Fill="1"/>
    <xf numFmtId="9" fontId="6" fillId="0" borderId="3" xfId="0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2" applyFill="1" applyAlignment="1">
      <alignment horizontal="center" vertical="center" wrapText="1"/>
    </xf>
    <xf numFmtId="9" fontId="2" fillId="0" borderId="1" xfId="2" applyNumberFormat="1" applyFill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9" fontId="6" fillId="0" borderId="10" xfId="0" applyNumberFormat="1" applyFont="1" applyBorder="1" applyAlignment="1">
      <alignment horizontal="center"/>
    </xf>
    <xf numFmtId="14" fontId="4" fillId="0" borderId="3" xfId="0" applyNumberFormat="1" applyFont="1" applyFill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/>
    </xf>
    <xf numFmtId="0" fontId="4" fillId="0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/>
    </xf>
    <xf numFmtId="0" fontId="9" fillId="0" borderId="7" xfId="0" applyFont="1" applyFill="1" applyBorder="1" applyAlignment="1">
      <alignment horizontal="left" vertical="center" wrapText="1" indent="1"/>
    </xf>
    <xf numFmtId="0" fontId="5" fillId="0" borderId="8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 wrapText="1" indent="1"/>
    </xf>
    <xf numFmtId="0" fontId="5" fillId="0" borderId="11" xfId="0" applyFont="1" applyBorder="1" applyAlignment="1">
      <alignment horizontal="center" vertical="center"/>
    </xf>
    <xf numFmtId="0" fontId="6" fillId="0" borderId="0" xfId="0" applyFont="1" applyFill="1"/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1" fontId="4" fillId="0" borderId="8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8" fillId="0" borderId="1" xfId="1" applyFont="1" applyBorder="1" applyAlignment="1">
      <alignment horizontal="center" wrapText="1"/>
    </xf>
  </cellXfs>
  <cellStyles count="4">
    <cellStyle name="Heading 1" xfId="2" builtinId="16"/>
    <cellStyle name="Hyperlink" xfId="3" builtinId="8"/>
    <cellStyle name="Normal" xfId="0" builtinId="0"/>
    <cellStyle name="Title" xfId="1" builtinId="15"/>
  </cellStyles>
  <dxfs count="78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theme="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Segoe UI"/>
        <scheme val="none"/>
      </font>
      <numFmt numFmtId="165" formatCode="&quot;$&quot;#,##0.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D1D9E0"/>
        </top>
      </border>
    </dxf>
    <dxf>
      <font>
        <strike val="0"/>
        <outline val="0"/>
        <shadow val="0"/>
        <u val="none"/>
        <vertAlign val="baseline"/>
        <sz val="12"/>
        <name val="Segoe UI"/>
        <scheme val="none"/>
      </font>
      <alignment horizontal="center" vertical="center" textRotation="0" indent="0" justifyLastLine="0" shrinkToFit="0" readingOrder="0"/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numFmt numFmtId="165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3" name="Table3" displayName="Table3" ref="A1:E21" totalsRowShown="0" headerRowDxfId="77" dataDxfId="75" headerRowBorderDxfId="76" tableBorderDxfId="74" totalsRowBorderDxfId="73">
  <autoFilter ref="A1:E21"/>
  <tableColumns count="5">
    <tableColumn id="1" name="Employee ID" dataDxfId="72"/>
    <tableColumn id="2" name="Name" dataDxfId="71"/>
    <tableColumn id="3" name="Department" dataDxfId="70"/>
    <tableColumn id="4" name="Salary" dataDxfId="69"/>
    <tableColumn id="5" name="Joining Date" dataDxfId="6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2:D22" totalsRowShown="0" headerRowDxfId="67" dataDxfId="65" headerRowBorderDxfId="66" tableBorderDxfId="64">
  <autoFilter ref="A2:D22"/>
  <tableColumns count="4">
    <tableColumn id="1" name="Product Name" dataDxfId="63" dataCellStyle="Hyperlink">
      <calculatedColumnFormula>CHOOSE(RANDBETWEEN(1, 4), "Laptop Dell Inspiration 15", "HP Wireless Mouse", "Samsung 24-inch Monitor", "Lenovo Thinkpad E14 Laptop")</calculatedColumnFormula>
    </tableColumn>
    <tableColumn id="2" name="Region" dataDxfId="62" dataCellStyle="Hyperlink">
      <calculatedColumnFormula>CHOOSE(RANDBETWEEN(1, 4), "East", "West", "North", "South")</calculatedColumnFormula>
    </tableColumn>
    <tableColumn id="3" name="Sales Amount" dataDxfId="61"/>
    <tableColumn id="4" name="Salesperson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F21" totalsRowShown="0" headerRowDxfId="59" dataDxfId="57" headerRowBorderDxfId="58" tableBorderDxfId="56" totalsRowBorderDxfId="55" headerRowCellStyle="Heading 1">
  <autoFilter ref="A1:F21"/>
  <tableColumns count="6">
    <tableColumn id="1" name="Roll No" dataDxfId="54"/>
    <tableColumn id="2" name="Student Name" dataDxfId="53"/>
    <tableColumn id="3" name="Maths" dataDxfId="52"/>
    <tableColumn id="4" name="Science" dataDxfId="51"/>
    <tableColumn id="5" name="English" dataDxfId="50"/>
    <tableColumn id="6" name="Percentage" dataDxfId="49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:C26" totalsRowShown="0" headerRowDxfId="48" headerRowBorderDxfId="47" tableBorderDxfId="46" totalsRowBorderDxfId="45">
  <autoFilter ref="A1:C26"/>
  <tableColumns count="3">
    <tableColumn id="1" name="Invoice No" dataDxfId="44"/>
    <tableColumn id="2" name="Date" dataDxfId="43"/>
    <tableColumn id="3" name="Sales Amount" dataDxfId="42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1:C21" totalsRowShown="0" headerRowDxfId="41" headerRowBorderDxfId="40" tableBorderDxfId="39" totalsRowBorderDxfId="38">
  <autoFilter ref="A1:C21"/>
  <tableColumns count="3">
    <tableColumn id="1" name="Employee Name" dataDxfId="37"/>
    <tableColumn id="2" name="Department" dataDxfId="36"/>
    <tableColumn id="3" name="Salary" dataDxfId="35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A1:F21" totalsRowShown="0" headerRowDxfId="34" dataDxfId="32" headerRowBorderDxfId="33" tableBorderDxfId="31" totalsRowBorderDxfId="30">
  <autoFilter ref="A1:F21"/>
  <tableColumns count="6">
    <tableColumn id="1" name="Student Name" dataDxfId="29"/>
    <tableColumn id="2" name="Day 1" dataDxfId="28"/>
    <tableColumn id="3" name="Day 2" dataDxfId="27"/>
    <tableColumn id="4" name="Day 3" dataDxfId="26"/>
    <tableColumn id="5" name="Day 4" dataDxfId="25"/>
    <tableColumn id="6" name="Day 5" dataDxfId="24"/>
  </tableColumns>
  <tableStyleInfo name="TableStyleMedium25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A1:B21" totalsRowShown="0" headerRowDxfId="23" headerRowBorderDxfId="22" tableBorderDxfId="21" totalsRowBorderDxfId="20">
  <autoFilter ref="A1:B21"/>
  <tableColumns count="2">
    <tableColumn id="1" name="Order ID" dataDxfId="19"/>
    <tableColumn id="2" name="Sales Amount" dataDxfId="18"/>
  </tableColumns>
  <tableStyleInfo name="TableStyleMedium27" showFirstColumn="0" showLastColumn="0" showRowStripes="1" showColumnStripes="0"/>
</table>
</file>

<file path=xl/tables/table8.xml><?xml version="1.0" encoding="utf-8"?>
<table xmlns="http://schemas.openxmlformats.org/spreadsheetml/2006/main" id="12" name="Table12" displayName="Table12" ref="A1:B21" totalsRowShown="0" headerRowDxfId="14" headerRowBorderDxfId="13" tableBorderDxfId="12" totalsRowBorderDxfId="11">
  <autoFilter ref="A1:B21"/>
  <tableColumns count="2">
    <tableColumn id="1" name="Product" dataDxfId="10"/>
    <tableColumn id="2" name="Sales Amount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www.wallstreetmojo.com/choose-function-in-excel/" TargetMode="External"/><Relationship Id="rId1" Type="http://schemas.openxmlformats.org/officeDocument/2006/relationships/hyperlink" Target="https://www.wallstreetmojo.com/choose-function-in-exce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="85" zoomScaleNormal="85" workbookViewId="0"/>
  </sheetViews>
  <sheetFormatPr defaultRowHeight="15"/>
  <cols>
    <col min="1" max="1" width="20.85546875" customWidth="1"/>
    <col min="2" max="2" width="16" customWidth="1"/>
    <col min="3" max="3" width="20.140625" customWidth="1"/>
    <col min="4" max="4" width="14.42578125" customWidth="1"/>
    <col min="5" max="5" width="37" customWidth="1"/>
    <col min="7" max="7" width="18.85546875" customWidth="1"/>
    <col min="12" max="12" width="9.140625" customWidth="1"/>
  </cols>
  <sheetData>
    <row r="1" spans="1:6" ht="17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6" ht="17.25">
      <c r="A2" s="8" t="s">
        <v>5</v>
      </c>
      <c r="B2" s="9" t="s">
        <v>6</v>
      </c>
      <c r="C2" s="9" t="s">
        <v>7</v>
      </c>
      <c r="D2" s="10">
        <v>32000</v>
      </c>
      <c r="E2" s="11">
        <v>44573</v>
      </c>
    </row>
    <row r="3" spans="1:6" ht="17.25">
      <c r="A3" s="8" t="s">
        <v>8</v>
      </c>
      <c r="B3" s="9" t="s">
        <v>9</v>
      </c>
      <c r="C3" s="9" t="s">
        <v>10</v>
      </c>
      <c r="D3" s="10">
        <v>45000</v>
      </c>
      <c r="E3" s="11">
        <v>44260</v>
      </c>
    </row>
    <row r="4" spans="1:6" ht="17.25">
      <c r="A4" s="8" t="s">
        <v>11</v>
      </c>
      <c r="B4" s="9" t="s">
        <v>12</v>
      </c>
      <c r="C4" s="9" t="s">
        <v>13</v>
      </c>
      <c r="D4" s="10">
        <v>38000</v>
      </c>
      <c r="E4" s="11">
        <v>44030</v>
      </c>
    </row>
    <row r="5" spans="1:6" ht="17.25">
      <c r="A5" s="8" t="s">
        <v>14</v>
      </c>
      <c r="B5" s="9" t="s">
        <v>15</v>
      </c>
      <c r="C5" s="9" t="s">
        <v>10</v>
      </c>
      <c r="D5" s="10">
        <v>52000</v>
      </c>
      <c r="E5" s="11">
        <v>43779</v>
      </c>
    </row>
    <row r="6" spans="1:6" ht="17.25">
      <c r="A6" s="8" t="s">
        <v>16</v>
      </c>
      <c r="B6" s="9" t="s">
        <v>17</v>
      </c>
      <c r="C6" s="9" t="s">
        <v>18</v>
      </c>
      <c r="D6" s="10">
        <v>30000</v>
      </c>
      <c r="E6" s="11">
        <v>45102</v>
      </c>
    </row>
    <row r="7" spans="1:6" ht="17.25">
      <c r="A7" s="8" t="s">
        <v>19</v>
      </c>
      <c r="B7" s="9" t="s">
        <v>9</v>
      </c>
      <c r="C7" s="9" t="s">
        <v>7</v>
      </c>
      <c r="D7" s="10">
        <v>76000</v>
      </c>
      <c r="E7" s="11">
        <v>45896</v>
      </c>
    </row>
    <row r="8" spans="1:6" ht="17.25">
      <c r="A8" s="8" t="s">
        <v>20</v>
      </c>
      <c r="B8" s="9" t="s">
        <v>15</v>
      </c>
      <c r="C8" s="9" t="s">
        <v>18</v>
      </c>
      <c r="D8" s="10">
        <v>45000</v>
      </c>
      <c r="E8" s="11">
        <v>44141</v>
      </c>
    </row>
    <row r="9" spans="1:6" ht="17.25">
      <c r="A9" s="8" t="s">
        <v>21</v>
      </c>
      <c r="B9" s="9" t="s">
        <v>17</v>
      </c>
      <c r="C9" s="9" t="s">
        <v>10</v>
      </c>
      <c r="D9" s="10">
        <v>69000</v>
      </c>
      <c r="E9" s="11">
        <v>43832</v>
      </c>
    </row>
    <row r="10" spans="1:6" ht="17.25">
      <c r="A10" s="8" t="s">
        <v>22</v>
      </c>
      <c r="B10" s="9" t="s">
        <v>6</v>
      </c>
      <c r="C10" s="9" t="s">
        <v>18</v>
      </c>
      <c r="D10" s="10">
        <v>74000</v>
      </c>
      <c r="E10" s="11">
        <v>46008</v>
      </c>
    </row>
    <row r="11" spans="1:6" ht="17.25">
      <c r="A11" s="8" t="s">
        <v>23</v>
      </c>
      <c r="B11" s="9" t="s">
        <v>12</v>
      </c>
      <c r="C11" s="9" t="s">
        <v>7</v>
      </c>
      <c r="D11" s="10">
        <v>53000</v>
      </c>
      <c r="E11" s="11">
        <v>44680</v>
      </c>
    </row>
    <row r="12" spans="1:6" ht="17.25">
      <c r="A12" s="8" t="s">
        <v>24</v>
      </c>
      <c r="B12" s="9" t="s">
        <v>9</v>
      </c>
      <c r="C12" s="9" t="s">
        <v>18</v>
      </c>
      <c r="D12" s="10">
        <v>68500</v>
      </c>
      <c r="E12" s="11">
        <v>44080</v>
      </c>
      <c r="F12" s="1"/>
    </row>
    <row r="13" spans="1:6" ht="17.25">
      <c r="A13" s="8" t="s">
        <v>25</v>
      </c>
      <c r="B13" s="9" t="s">
        <v>6</v>
      </c>
      <c r="C13" s="9" t="s">
        <v>7</v>
      </c>
      <c r="D13" s="10">
        <v>83000</v>
      </c>
      <c r="E13" s="11">
        <v>44758</v>
      </c>
    </row>
    <row r="14" spans="1:6" ht="17.25">
      <c r="A14" s="8" t="s">
        <v>26</v>
      </c>
      <c r="B14" s="9" t="s">
        <v>15</v>
      </c>
      <c r="C14" s="9" t="s">
        <v>13</v>
      </c>
      <c r="D14" s="10">
        <v>60000</v>
      </c>
      <c r="E14" s="11">
        <v>45447</v>
      </c>
    </row>
    <row r="15" spans="1:6" ht="17.25">
      <c r="A15" s="8" t="s">
        <v>27</v>
      </c>
      <c r="B15" s="9" t="s">
        <v>15</v>
      </c>
      <c r="C15" s="9" t="s">
        <v>13</v>
      </c>
      <c r="D15" s="10">
        <v>42500</v>
      </c>
      <c r="E15" s="11">
        <v>44225</v>
      </c>
    </row>
    <row r="16" spans="1:6" ht="17.25">
      <c r="A16" s="8" t="s">
        <v>28</v>
      </c>
      <c r="B16" s="9" t="s">
        <v>9</v>
      </c>
      <c r="C16" s="9" t="s">
        <v>13</v>
      </c>
      <c r="D16" s="10">
        <v>46000</v>
      </c>
      <c r="E16" s="11">
        <v>44400</v>
      </c>
    </row>
    <row r="17" spans="1:5" ht="17.25">
      <c r="A17" s="8" t="s">
        <v>29</v>
      </c>
      <c r="B17" s="9" t="s">
        <v>15</v>
      </c>
      <c r="C17" s="9" t="s">
        <v>10</v>
      </c>
      <c r="D17" s="10">
        <v>67000</v>
      </c>
      <c r="E17" s="11">
        <v>43843</v>
      </c>
    </row>
    <row r="18" spans="1:5" ht="17.25">
      <c r="A18" s="8" t="s">
        <v>30</v>
      </c>
      <c r="B18" s="9" t="s">
        <v>12</v>
      </c>
      <c r="C18" s="9" t="s">
        <v>7</v>
      </c>
      <c r="D18" s="10">
        <v>79500</v>
      </c>
      <c r="E18" s="11">
        <v>44819</v>
      </c>
    </row>
    <row r="19" spans="1:5" ht="17.25">
      <c r="A19" s="8" t="s">
        <v>31</v>
      </c>
      <c r="B19" s="9" t="s">
        <v>6</v>
      </c>
      <c r="C19" s="9" t="s">
        <v>7</v>
      </c>
      <c r="D19" s="10">
        <v>57500</v>
      </c>
      <c r="E19" s="11">
        <v>45930</v>
      </c>
    </row>
    <row r="20" spans="1:5" ht="17.25">
      <c r="A20" s="8" t="s">
        <v>32</v>
      </c>
      <c r="B20" s="9" t="s">
        <v>17</v>
      </c>
      <c r="C20" s="9" t="s">
        <v>13</v>
      </c>
      <c r="D20" s="10">
        <v>84500</v>
      </c>
      <c r="E20" s="11">
        <v>44915</v>
      </c>
    </row>
    <row r="21" spans="1:5" ht="17.25">
      <c r="A21" s="12" t="s">
        <v>33</v>
      </c>
      <c r="B21" s="13" t="s">
        <v>17</v>
      </c>
      <c r="C21" s="13" t="s">
        <v>7</v>
      </c>
      <c r="D21" s="14">
        <v>44500</v>
      </c>
      <c r="E21" s="15">
        <v>44785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zoomScale="85" zoomScaleNormal="85" workbookViewId="0">
      <selection sqref="A1:D1"/>
    </sheetView>
  </sheetViews>
  <sheetFormatPr defaultRowHeight="15"/>
  <cols>
    <col min="1" max="1" width="22.85546875" style="4" customWidth="1"/>
    <col min="2" max="2" width="15" bestFit="1" customWidth="1"/>
    <col min="3" max="3" width="23.28515625" bestFit="1" customWidth="1"/>
    <col min="4" max="4" width="21" bestFit="1" customWidth="1"/>
    <col min="7" max="7" width="14.5703125" customWidth="1"/>
  </cols>
  <sheetData>
    <row r="1" spans="1:4" ht="27.75" thickBot="1">
      <c r="A1" s="68" t="s">
        <v>53</v>
      </c>
      <c r="B1" s="68"/>
      <c r="C1" s="68"/>
      <c r="D1" s="68"/>
    </row>
    <row r="2" spans="1:4" ht="18" thickTop="1">
      <c r="A2" s="18" t="s">
        <v>35</v>
      </c>
      <c r="B2" s="18" t="s">
        <v>36</v>
      </c>
      <c r="C2" s="18" t="s">
        <v>37</v>
      </c>
      <c r="D2" s="18" t="s">
        <v>38</v>
      </c>
    </row>
    <row r="3" spans="1:4" ht="34.5">
      <c r="A3" s="19" t="s">
        <v>39</v>
      </c>
      <c r="B3" s="9" t="s">
        <v>40</v>
      </c>
      <c r="C3" s="10">
        <v>45000</v>
      </c>
      <c r="D3" s="9" t="s">
        <v>41</v>
      </c>
    </row>
    <row r="4" spans="1:4" ht="17.25">
      <c r="A4" s="19" t="s">
        <v>42</v>
      </c>
      <c r="B4" s="9" t="s">
        <v>43</v>
      </c>
      <c r="C4" s="10">
        <v>1200</v>
      </c>
      <c r="D4" s="9" t="s">
        <v>44</v>
      </c>
    </row>
    <row r="5" spans="1:4" ht="34.5">
      <c r="A5" s="19" t="s">
        <v>45</v>
      </c>
      <c r="B5" s="9" t="s">
        <v>46</v>
      </c>
      <c r="C5" s="10">
        <v>18000</v>
      </c>
      <c r="D5" s="9" t="s">
        <v>47</v>
      </c>
    </row>
    <row r="6" spans="1:4" ht="34.5">
      <c r="A6" s="19" t="s">
        <v>48</v>
      </c>
      <c r="B6" s="9" t="s">
        <v>49</v>
      </c>
      <c r="C6" s="10">
        <v>62000</v>
      </c>
      <c r="D6" s="9" t="s">
        <v>50</v>
      </c>
    </row>
    <row r="7" spans="1:4" ht="17.25">
      <c r="A7" s="20" t="s">
        <v>42</v>
      </c>
      <c r="B7" s="21" t="s">
        <v>40</v>
      </c>
      <c r="C7" s="22">
        <v>71000</v>
      </c>
      <c r="D7" s="23" t="s">
        <v>47</v>
      </c>
    </row>
    <row r="8" spans="1:4" ht="17.25">
      <c r="A8" s="20" t="s">
        <v>42</v>
      </c>
      <c r="B8" s="21" t="s">
        <v>43</v>
      </c>
      <c r="C8" s="22">
        <v>49000</v>
      </c>
      <c r="D8" s="23" t="s">
        <v>50</v>
      </c>
    </row>
    <row r="9" spans="1:4" ht="34.5">
      <c r="A9" s="20" t="s">
        <v>45</v>
      </c>
      <c r="B9" s="21" t="s">
        <v>49</v>
      </c>
      <c r="C9" s="22">
        <v>76000</v>
      </c>
      <c r="D9" s="23" t="s">
        <v>50</v>
      </c>
    </row>
    <row r="10" spans="1:4" ht="34.5">
      <c r="A10" s="20" t="s">
        <v>51</v>
      </c>
      <c r="B10" s="21" t="s">
        <v>40</v>
      </c>
      <c r="C10" s="22">
        <v>83000</v>
      </c>
      <c r="D10" s="23" t="s">
        <v>44</v>
      </c>
    </row>
    <row r="11" spans="1:4" ht="34.5">
      <c r="A11" s="20" t="s">
        <v>51</v>
      </c>
      <c r="B11" s="21" t="s">
        <v>40</v>
      </c>
      <c r="C11" s="22">
        <v>58000</v>
      </c>
      <c r="D11" s="23" t="s">
        <v>41</v>
      </c>
    </row>
    <row r="12" spans="1:4" ht="34.5">
      <c r="A12" s="20" t="s">
        <v>52</v>
      </c>
      <c r="B12" s="21" t="s">
        <v>43</v>
      </c>
      <c r="C12" s="22">
        <v>16000</v>
      </c>
      <c r="D12" s="23" t="s">
        <v>44</v>
      </c>
    </row>
    <row r="13" spans="1:4" ht="17.25">
      <c r="A13" s="20" t="s">
        <v>42</v>
      </c>
      <c r="B13" s="21" t="s">
        <v>43</v>
      </c>
      <c r="C13" s="22">
        <v>78000</v>
      </c>
      <c r="D13" s="23" t="s">
        <v>41</v>
      </c>
    </row>
    <row r="14" spans="1:4" ht="34.5">
      <c r="A14" s="20" t="s">
        <v>45</v>
      </c>
      <c r="B14" s="21" t="s">
        <v>43</v>
      </c>
      <c r="C14" s="22">
        <v>24000</v>
      </c>
      <c r="D14" s="23" t="s">
        <v>41</v>
      </c>
    </row>
    <row r="15" spans="1:4" ht="34.5">
      <c r="A15" s="20" t="s">
        <v>45</v>
      </c>
      <c r="B15" s="21" t="s">
        <v>43</v>
      </c>
      <c r="C15" s="22">
        <v>70000</v>
      </c>
      <c r="D15" s="23" t="s">
        <v>44</v>
      </c>
    </row>
    <row r="16" spans="1:4" ht="34.5">
      <c r="A16" s="20" t="s">
        <v>45</v>
      </c>
      <c r="B16" s="21" t="s">
        <v>40</v>
      </c>
      <c r="C16" s="22">
        <v>66000</v>
      </c>
      <c r="D16" s="23" t="s">
        <v>47</v>
      </c>
    </row>
    <row r="17" spans="1:4" ht="17.25">
      <c r="A17" s="20" t="s">
        <v>42</v>
      </c>
      <c r="B17" s="21" t="s">
        <v>40</v>
      </c>
      <c r="C17" s="22">
        <v>48000</v>
      </c>
      <c r="D17" s="23" t="s">
        <v>47</v>
      </c>
    </row>
    <row r="18" spans="1:4" ht="34.5">
      <c r="A18" s="20" t="s">
        <v>51</v>
      </c>
      <c r="B18" s="21" t="s">
        <v>46</v>
      </c>
      <c r="C18" s="22">
        <v>64000</v>
      </c>
      <c r="D18" s="23" t="s">
        <v>41</v>
      </c>
    </row>
    <row r="19" spans="1:4" ht="17.25">
      <c r="A19" s="20" t="s">
        <v>42</v>
      </c>
      <c r="B19" s="21" t="s">
        <v>43</v>
      </c>
      <c r="C19" s="22">
        <v>22000</v>
      </c>
      <c r="D19" s="23" t="s">
        <v>50</v>
      </c>
    </row>
    <row r="20" spans="1:4" ht="34.5">
      <c r="A20" s="20" t="s">
        <v>45</v>
      </c>
      <c r="B20" s="21" t="s">
        <v>40</v>
      </c>
      <c r="C20" s="22">
        <v>54000</v>
      </c>
      <c r="D20" s="23" t="s">
        <v>47</v>
      </c>
    </row>
    <row r="21" spans="1:4" ht="34.5">
      <c r="A21" s="20" t="s">
        <v>52</v>
      </c>
      <c r="B21" s="21" t="s">
        <v>43</v>
      </c>
      <c r="C21" s="22">
        <v>38000</v>
      </c>
      <c r="D21" s="23" t="s">
        <v>50</v>
      </c>
    </row>
    <row r="22" spans="1:4" ht="17.25">
      <c r="A22" s="20" t="s">
        <v>42</v>
      </c>
      <c r="B22" s="21" t="s">
        <v>40</v>
      </c>
      <c r="C22" s="22">
        <v>93000</v>
      </c>
      <c r="D22" s="23" t="s">
        <v>47</v>
      </c>
    </row>
  </sheetData>
  <mergeCells count="1">
    <mergeCell ref="A1:D1"/>
  </mergeCells>
  <hyperlinks>
    <hyperlink ref="A7" r:id="rId1" display="https://www.wallstreetmojo.com/choose-function-in-excel/"/>
    <hyperlink ref="A8:A22" r:id="rId2" display="https://www.wallstreetmojo.com/choose-function-in-excel/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="85" zoomScaleNormal="85" workbookViewId="0"/>
  </sheetViews>
  <sheetFormatPr defaultRowHeight="15"/>
  <cols>
    <col min="1" max="1" width="11.7109375" customWidth="1"/>
    <col min="2" max="2" width="20.28515625" customWidth="1"/>
    <col min="3" max="3" width="10.7109375" customWidth="1"/>
    <col min="4" max="4" width="12.140625" customWidth="1"/>
    <col min="5" max="5" width="11.42578125" customWidth="1"/>
    <col min="6" max="6" width="16.5703125" style="27" customWidth="1"/>
  </cols>
  <sheetData>
    <row r="1" spans="1:6" ht="20.25" thickBot="1">
      <c r="A1" s="28" t="s">
        <v>54</v>
      </c>
      <c r="B1" s="28" t="s">
        <v>55</v>
      </c>
      <c r="C1" s="28" t="s">
        <v>56</v>
      </c>
      <c r="D1" s="28" t="s">
        <v>57</v>
      </c>
      <c r="E1" s="28" t="s">
        <v>58</v>
      </c>
      <c r="F1" s="29" t="s">
        <v>59</v>
      </c>
    </row>
    <row r="2" spans="1:6" ht="18" thickTop="1">
      <c r="A2" s="19">
        <v>1</v>
      </c>
      <c r="B2" s="19" t="s">
        <v>60</v>
      </c>
      <c r="C2" s="19">
        <v>78</v>
      </c>
      <c r="D2" s="19">
        <v>82</v>
      </c>
      <c r="E2" s="19">
        <v>74</v>
      </c>
      <c r="F2" s="26">
        <v>0.78</v>
      </c>
    </row>
    <row r="3" spans="1:6" ht="17.25">
      <c r="A3" s="19">
        <v>2</v>
      </c>
      <c r="B3" s="19" t="s">
        <v>61</v>
      </c>
      <c r="C3" s="19">
        <v>65</v>
      </c>
      <c r="D3" s="19">
        <v>70</v>
      </c>
      <c r="E3" s="19">
        <v>68</v>
      </c>
      <c r="F3" s="26">
        <v>0.67666666666666664</v>
      </c>
    </row>
    <row r="4" spans="1:6" ht="17.25">
      <c r="A4" s="19">
        <v>3</v>
      </c>
      <c r="B4" s="19" t="s">
        <v>62</v>
      </c>
      <c r="C4" s="19">
        <v>90</v>
      </c>
      <c r="D4" s="19">
        <v>88</v>
      </c>
      <c r="E4" s="19">
        <v>92</v>
      </c>
      <c r="F4" s="26">
        <v>0.9</v>
      </c>
    </row>
    <row r="5" spans="1:6" ht="17.25">
      <c r="A5" s="19">
        <v>4</v>
      </c>
      <c r="B5" s="19" t="s">
        <v>63</v>
      </c>
      <c r="C5" s="19">
        <v>35</v>
      </c>
      <c r="D5" s="19">
        <v>40</v>
      </c>
      <c r="E5" s="19">
        <v>38</v>
      </c>
      <c r="F5" s="26">
        <v>0.37666666666666665</v>
      </c>
    </row>
    <row r="6" spans="1:6" ht="17.25">
      <c r="A6" s="19">
        <v>5</v>
      </c>
      <c r="B6" s="19" t="s">
        <v>64</v>
      </c>
      <c r="C6" s="19">
        <v>55</v>
      </c>
      <c r="D6" s="19">
        <v>60</v>
      </c>
      <c r="E6" s="19">
        <v>58</v>
      </c>
      <c r="F6" s="26">
        <v>0.57666666666666666</v>
      </c>
    </row>
    <row r="7" spans="1:6" ht="17.25">
      <c r="A7" s="19">
        <v>6</v>
      </c>
      <c r="B7" s="23" t="s">
        <v>63</v>
      </c>
      <c r="C7" s="23">
        <v>51</v>
      </c>
      <c r="D7" s="23">
        <v>48</v>
      </c>
      <c r="E7" s="23">
        <v>73</v>
      </c>
      <c r="F7" s="26">
        <v>0.57333333333333336</v>
      </c>
    </row>
    <row r="8" spans="1:6" ht="17.25">
      <c r="A8" s="19">
        <v>7</v>
      </c>
      <c r="B8" s="23" t="s">
        <v>60</v>
      </c>
      <c r="C8" s="23">
        <v>79</v>
      </c>
      <c r="D8" s="23">
        <v>76</v>
      </c>
      <c r="E8" s="23">
        <v>60</v>
      </c>
      <c r="F8" s="26">
        <v>0.71666666666666667</v>
      </c>
    </row>
    <row r="9" spans="1:6" ht="17.25">
      <c r="A9" s="19">
        <v>8</v>
      </c>
      <c r="B9" s="23" t="s">
        <v>63</v>
      </c>
      <c r="C9" s="23">
        <v>89</v>
      </c>
      <c r="D9" s="23">
        <v>85</v>
      </c>
      <c r="E9" s="23">
        <v>92</v>
      </c>
      <c r="F9" s="26">
        <v>0.88666666666666671</v>
      </c>
    </row>
    <row r="10" spans="1:6" ht="17.25">
      <c r="A10" s="19">
        <v>9</v>
      </c>
      <c r="B10" s="23" t="s">
        <v>60</v>
      </c>
      <c r="C10" s="23">
        <v>37</v>
      </c>
      <c r="D10" s="23">
        <v>51</v>
      </c>
      <c r="E10" s="23">
        <v>44</v>
      </c>
      <c r="F10" s="26">
        <v>0.44</v>
      </c>
    </row>
    <row r="11" spans="1:6" ht="17.25">
      <c r="A11" s="19">
        <v>10</v>
      </c>
      <c r="B11" s="23" t="s">
        <v>61</v>
      </c>
      <c r="C11" s="23">
        <v>44</v>
      </c>
      <c r="D11" s="23">
        <v>100</v>
      </c>
      <c r="E11" s="23">
        <v>99</v>
      </c>
      <c r="F11" s="26">
        <v>0.81</v>
      </c>
    </row>
    <row r="12" spans="1:6" ht="17.25">
      <c r="A12" s="19">
        <v>11</v>
      </c>
      <c r="B12" s="23" t="s">
        <v>62</v>
      </c>
      <c r="C12" s="23">
        <v>43</v>
      </c>
      <c r="D12" s="23">
        <v>25</v>
      </c>
      <c r="E12" s="23">
        <v>57</v>
      </c>
      <c r="F12" s="26">
        <v>0.41666666666666669</v>
      </c>
    </row>
    <row r="13" spans="1:6" ht="17.25">
      <c r="A13" s="19">
        <v>12</v>
      </c>
      <c r="B13" s="23" t="s">
        <v>60</v>
      </c>
      <c r="C13" s="23">
        <v>97</v>
      </c>
      <c r="D13" s="23">
        <v>61</v>
      </c>
      <c r="E13" s="23">
        <v>56</v>
      </c>
      <c r="F13" s="26">
        <v>0.71333333333333337</v>
      </c>
    </row>
    <row r="14" spans="1:6" ht="17.25">
      <c r="A14" s="19">
        <v>13</v>
      </c>
      <c r="B14" s="23" t="s">
        <v>60</v>
      </c>
      <c r="C14" s="23">
        <v>50</v>
      </c>
      <c r="D14" s="23">
        <v>84</v>
      </c>
      <c r="E14" s="23">
        <v>26</v>
      </c>
      <c r="F14" s="26">
        <v>0.53333333333333333</v>
      </c>
    </row>
    <row r="15" spans="1:6" ht="17.25">
      <c r="A15" s="19">
        <v>14</v>
      </c>
      <c r="B15" s="23" t="s">
        <v>60</v>
      </c>
      <c r="C15" s="23">
        <v>68</v>
      </c>
      <c r="D15" s="23">
        <v>39</v>
      </c>
      <c r="E15" s="23">
        <v>26</v>
      </c>
      <c r="F15" s="26">
        <v>0.44333333333333336</v>
      </c>
    </row>
    <row r="16" spans="1:6" ht="17.25">
      <c r="A16" s="19">
        <v>15</v>
      </c>
      <c r="B16" s="23" t="s">
        <v>61</v>
      </c>
      <c r="C16" s="23">
        <v>79</v>
      </c>
      <c r="D16" s="23">
        <v>35</v>
      </c>
      <c r="E16" s="23">
        <v>100</v>
      </c>
      <c r="F16" s="26">
        <v>0.71333333333333337</v>
      </c>
    </row>
    <row r="17" spans="1:6" ht="17.25">
      <c r="A17" s="19">
        <v>16</v>
      </c>
      <c r="B17" s="23" t="s">
        <v>64</v>
      </c>
      <c r="C17" s="23">
        <v>98</v>
      </c>
      <c r="D17" s="23">
        <v>62</v>
      </c>
      <c r="E17" s="23">
        <v>69</v>
      </c>
      <c r="F17" s="26">
        <v>0.76333333333333331</v>
      </c>
    </row>
    <row r="18" spans="1:6" ht="17.25">
      <c r="A18" s="19">
        <v>17</v>
      </c>
      <c r="B18" s="23" t="s">
        <v>64</v>
      </c>
      <c r="C18" s="23">
        <v>28</v>
      </c>
      <c r="D18" s="23">
        <v>58</v>
      </c>
      <c r="E18" s="23">
        <v>45</v>
      </c>
      <c r="F18" s="26">
        <v>0.43666666666666665</v>
      </c>
    </row>
    <row r="19" spans="1:6" ht="17.25">
      <c r="A19" s="19">
        <v>18</v>
      </c>
      <c r="B19" s="23" t="s">
        <v>60</v>
      </c>
      <c r="C19" s="23">
        <v>24</v>
      </c>
      <c r="D19" s="23">
        <v>68</v>
      </c>
      <c r="E19" s="23">
        <v>80</v>
      </c>
      <c r="F19" s="26">
        <v>0.57333333333333336</v>
      </c>
    </row>
    <row r="20" spans="1:6" ht="17.25">
      <c r="A20" s="19">
        <v>19</v>
      </c>
      <c r="B20" s="23" t="s">
        <v>60</v>
      </c>
      <c r="C20" s="23">
        <v>17</v>
      </c>
      <c r="D20" s="23">
        <v>68</v>
      </c>
      <c r="E20" s="23">
        <v>72</v>
      </c>
      <c r="F20" s="26">
        <v>0.52333333333333332</v>
      </c>
    </row>
    <row r="21" spans="1:6" ht="17.25">
      <c r="A21" s="30">
        <v>20</v>
      </c>
      <c r="B21" s="31" t="s">
        <v>62</v>
      </c>
      <c r="C21" s="31">
        <v>48</v>
      </c>
      <c r="D21" s="31">
        <v>60</v>
      </c>
      <c r="E21" s="31">
        <v>86</v>
      </c>
      <c r="F21" s="32">
        <v>0.64666666666666661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zoomScale="85" zoomScaleNormal="85" workbookViewId="0"/>
  </sheetViews>
  <sheetFormatPr defaultRowHeight="15"/>
  <cols>
    <col min="1" max="1" width="19.5703125" style="25" bestFit="1" customWidth="1"/>
    <col min="2" max="2" width="13.7109375" style="25" bestFit="1" customWidth="1"/>
    <col min="3" max="3" width="23.28515625" style="25" bestFit="1" customWidth="1"/>
    <col min="4" max="4" width="9.140625" style="25" customWidth="1"/>
    <col min="5" max="16384" width="9.140625" style="25"/>
  </cols>
  <sheetData>
    <row r="1" spans="1:3" ht="17.25">
      <c r="A1" s="37" t="s">
        <v>65</v>
      </c>
      <c r="B1" s="38" t="s">
        <v>66</v>
      </c>
      <c r="C1" s="39" t="s">
        <v>37</v>
      </c>
    </row>
    <row r="2" spans="1:3" ht="17.25">
      <c r="A2" s="3" t="s">
        <v>67</v>
      </c>
      <c r="B2" s="33">
        <v>45292</v>
      </c>
      <c r="C2" s="35">
        <v>12000</v>
      </c>
    </row>
    <row r="3" spans="1:3" ht="17.25">
      <c r="A3" s="3" t="s">
        <v>68</v>
      </c>
      <c r="B3" s="33">
        <v>45294</v>
      </c>
      <c r="C3" s="35">
        <v>25000</v>
      </c>
    </row>
    <row r="4" spans="1:3" ht="17.25">
      <c r="A4" s="3" t="s">
        <v>69</v>
      </c>
      <c r="B4" s="33">
        <v>45296</v>
      </c>
      <c r="C4" s="35">
        <v>8000</v>
      </c>
    </row>
    <row r="5" spans="1:3" ht="17.25">
      <c r="A5" s="3" t="s">
        <v>70</v>
      </c>
      <c r="B5" s="33">
        <v>45299</v>
      </c>
      <c r="C5" s="35">
        <v>32000</v>
      </c>
    </row>
    <row r="6" spans="1:3" ht="17.25">
      <c r="A6" s="3" t="s">
        <v>71</v>
      </c>
      <c r="B6" s="33">
        <v>45301</v>
      </c>
      <c r="C6" s="35">
        <v>15000</v>
      </c>
    </row>
    <row r="7" spans="1:3" ht="17.25">
      <c r="A7" s="3" t="s">
        <v>109</v>
      </c>
      <c r="B7" s="34">
        <v>45999</v>
      </c>
      <c r="C7" s="36">
        <v>16000</v>
      </c>
    </row>
    <row r="8" spans="1:3" ht="17.25">
      <c r="A8" s="3" t="s">
        <v>110</v>
      </c>
      <c r="B8" s="34">
        <v>46183</v>
      </c>
      <c r="C8" s="36">
        <v>6000</v>
      </c>
    </row>
    <row r="9" spans="1:3" ht="17.25">
      <c r="A9" s="3" t="s">
        <v>111</v>
      </c>
      <c r="B9" s="34">
        <v>45671</v>
      </c>
      <c r="C9" s="36">
        <v>12000</v>
      </c>
    </row>
    <row r="10" spans="1:3" ht="17.25">
      <c r="A10" s="3" t="s">
        <v>112</v>
      </c>
      <c r="B10" s="34">
        <v>45997</v>
      </c>
      <c r="C10" s="36">
        <v>14000</v>
      </c>
    </row>
    <row r="11" spans="1:3" ht="17.25">
      <c r="A11" s="3" t="s">
        <v>113</v>
      </c>
      <c r="B11" s="34">
        <v>46066</v>
      </c>
      <c r="C11" s="36">
        <v>11000</v>
      </c>
    </row>
    <row r="12" spans="1:3" ht="17.25">
      <c r="A12" s="3" t="s">
        <v>114</v>
      </c>
      <c r="B12" s="34">
        <v>45406</v>
      </c>
      <c r="C12" s="36">
        <v>45000</v>
      </c>
    </row>
    <row r="13" spans="1:3" ht="17.25">
      <c r="A13" s="3" t="s">
        <v>115</v>
      </c>
      <c r="B13" s="34">
        <v>45954</v>
      </c>
      <c r="C13" s="36">
        <v>43000</v>
      </c>
    </row>
    <row r="14" spans="1:3" ht="17.25">
      <c r="A14" s="3" t="s">
        <v>116</v>
      </c>
      <c r="B14" s="34">
        <v>45309</v>
      </c>
      <c r="C14" s="36">
        <v>5000</v>
      </c>
    </row>
    <row r="15" spans="1:3" ht="17.25">
      <c r="A15" s="3" t="s">
        <v>117</v>
      </c>
      <c r="B15" s="34">
        <v>45723</v>
      </c>
      <c r="C15" s="36">
        <v>41000</v>
      </c>
    </row>
    <row r="16" spans="1:3" ht="17.25">
      <c r="A16" s="3" t="s">
        <v>118</v>
      </c>
      <c r="B16" s="34">
        <v>45868</v>
      </c>
      <c r="C16" s="36">
        <v>45000</v>
      </c>
    </row>
    <row r="17" spans="1:3" ht="17.25">
      <c r="A17" s="3" t="s">
        <v>119</v>
      </c>
      <c r="B17" s="34">
        <v>45891</v>
      </c>
      <c r="C17" s="36">
        <v>23000</v>
      </c>
    </row>
    <row r="18" spans="1:3" ht="17.25">
      <c r="A18" s="3" t="s">
        <v>120</v>
      </c>
      <c r="B18" s="34">
        <v>46089</v>
      </c>
      <c r="C18" s="36">
        <v>24000</v>
      </c>
    </row>
    <row r="19" spans="1:3" ht="17.25">
      <c r="A19" s="3" t="s">
        <v>121</v>
      </c>
      <c r="B19" s="34">
        <v>45904</v>
      </c>
      <c r="C19" s="36">
        <v>44000</v>
      </c>
    </row>
    <row r="20" spans="1:3" ht="17.25">
      <c r="A20" s="3" t="s">
        <v>122</v>
      </c>
      <c r="B20" s="34">
        <v>45786</v>
      </c>
      <c r="C20" s="36">
        <v>29000</v>
      </c>
    </row>
    <row r="21" spans="1:3" ht="17.25">
      <c r="A21" s="3" t="s">
        <v>123</v>
      </c>
      <c r="B21" s="34">
        <v>45435</v>
      </c>
      <c r="C21" s="36">
        <v>5000</v>
      </c>
    </row>
    <row r="22" spans="1:3" ht="17.25">
      <c r="A22" s="3"/>
      <c r="B22" s="34"/>
      <c r="C22" s="36"/>
    </row>
    <row r="23" spans="1:3" ht="17.25">
      <c r="A23" s="41" t="s">
        <v>125</v>
      </c>
      <c r="B23" s="34"/>
      <c r="C23" s="42">
        <v>455000</v>
      </c>
    </row>
    <row r="24" spans="1:3" ht="17.25">
      <c r="A24" s="41" t="s">
        <v>126</v>
      </c>
      <c r="B24" s="34"/>
      <c r="C24" s="42">
        <v>22750</v>
      </c>
    </row>
    <row r="25" spans="1:3" ht="17.25">
      <c r="A25" s="41" t="s">
        <v>127</v>
      </c>
      <c r="B25" s="34"/>
      <c r="C25" s="42">
        <v>45000</v>
      </c>
    </row>
    <row r="26" spans="1:3" ht="17.25">
      <c r="A26" s="43" t="s">
        <v>128</v>
      </c>
      <c r="B26" s="40"/>
      <c r="C26" s="44">
        <v>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85" zoomScaleNormal="85" workbookViewId="0"/>
  </sheetViews>
  <sheetFormatPr defaultRowHeight="15"/>
  <cols>
    <col min="1" max="1" width="22" style="25" customWidth="1"/>
    <col min="2" max="2" width="17.28515625" style="25" customWidth="1"/>
    <col min="3" max="3" width="10.28515625" style="25" customWidth="1"/>
    <col min="4" max="4" width="9.140625" style="25"/>
    <col min="5" max="5" width="13" style="25" customWidth="1"/>
    <col min="6" max="6" width="14.5703125" style="25" bestFit="1" customWidth="1"/>
    <col min="7" max="7" width="35" style="25" bestFit="1" customWidth="1"/>
    <col min="8" max="8" width="21.28515625" style="25" bestFit="1" customWidth="1"/>
    <col min="9" max="16384" width="9.140625" style="25"/>
  </cols>
  <sheetData>
    <row r="1" spans="1:8" ht="17.25">
      <c r="A1" s="37" t="s">
        <v>72</v>
      </c>
      <c r="B1" s="38" t="s">
        <v>2</v>
      </c>
      <c r="C1" s="39" t="s">
        <v>3</v>
      </c>
    </row>
    <row r="2" spans="1:8" ht="33.75" customHeight="1">
      <c r="A2" s="53" t="s">
        <v>73</v>
      </c>
      <c r="B2" s="19" t="s">
        <v>7</v>
      </c>
      <c r="C2" s="35">
        <v>28000</v>
      </c>
      <c r="G2" s="48" t="s">
        <v>129</v>
      </c>
      <c r="H2" s="48" t="s">
        <v>131</v>
      </c>
    </row>
    <row r="3" spans="1:8" ht="17.25">
      <c r="A3" s="53" t="s">
        <v>74</v>
      </c>
      <c r="B3" s="19" t="s">
        <v>10</v>
      </c>
      <c r="C3" s="35">
        <v>45000</v>
      </c>
    </row>
    <row r="4" spans="1:8" ht="20.25">
      <c r="A4" s="53" t="s">
        <v>75</v>
      </c>
      <c r="B4" s="19" t="s">
        <v>10</v>
      </c>
      <c r="C4" s="35">
        <v>50000</v>
      </c>
      <c r="F4" s="49" t="s">
        <v>7</v>
      </c>
      <c r="G4" s="49">
        <v>429000</v>
      </c>
      <c r="H4" s="17">
        <v>7</v>
      </c>
    </row>
    <row r="5" spans="1:8" ht="20.25">
      <c r="A5" s="53" t="s">
        <v>76</v>
      </c>
      <c r="B5" s="19" t="s">
        <v>13</v>
      </c>
      <c r="C5" s="35">
        <v>42000</v>
      </c>
      <c r="F5" s="49" t="s">
        <v>10</v>
      </c>
      <c r="G5" s="49">
        <v>318000</v>
      </c>
      <c r="H5" s="50">
        <v>6</v>
      </c>
    </row>
    <row r="6" spans="1:8" ht="20.25">
      <c r="A6" s="53" t="s">
        <v>77</v>
      </c>
      <c r="B6" s="19" t="s">
        <v>7</v>
      </c>
      <c r="C6" s="35">
        <v>30000</v>
      </c>
      <c r="F6" s="49" t="s">
        <v>13</v>
      </c>
      <c r="G6" s="49">
        <v>355000</v>
      </c>
      <c r="H6" s="50">
        <v>7</v>
      </c>
    </row>
    <row r="7" spans="1:8" ht="17.25">
      <c r="A7" s="53" t="s">
        <v>78</v>
      </c>
      <c r="B7" s="19" t="s">
        <v>13</v>
      </c>
      <c r="C7" s="35">
        <v>38000</v>
      </c>
    </row>
    <row r="8" spans="1:8" ht="20.25">
      <c r="A8" s="54" t="s">
        <v>74</v>
      </c>
      <c r="B8" s="47" t="s">
        <v>13</v>
      </c>
      <c r="C8" s="55">
        <v>53000</v>
      </c>
      <c r="F8" s="49" t="s">
        <v>130</v>
      </c>
      <c r="G8" s="50">
        <f>AVERAGE(C2:C21)</f>
        <v>55100</v>
      </c>
    </row>
    <row r="9" spans="1:8" ht="17.25">
      <c r="A9" s="54" t="s">
        <v>76</v>
      </c>
      <c r="B9" s="47" t="s">
        <v>10</v>
      </c>
      <c r="C9" s="55">
        <v>49000</v>
      </c>
    </row>
    <row r="10" spans="1:8" ht="17.25">
      <c r="A10" s="54" t="s">
        <v>77</v>
      </c>
      <c r="B10" s="47" t="s">
        <v>13</v>
      </c>
      <c r="C10" s="55">
        <v>43000</v>
      </c>
    </row>
    <row r="11" spans="1:8" ht="17.25">
      <c r="A11" s="54" t="s">
        <v>78</v>
      </c>
      <c r="B11" s="47" t="s">
        <v>10</v>
      </c>
      <c r="C11" s="55">
        <v>76000</v>
      </c>
    </row>
    <row r="12" spans="1:8" ht="17.25">
      <c r="A12" s="53" t="s">
        <v>73</v>
      </c>
      <c r="B12" s="47" t="s">
        <v>7</v>
      </c>
      <c r="C12" s="55">
        <v>33000</v>
      </c>
    </row>
    <row r="13" spans="1:8" ht="17.25">
      <c r="A13" s="53" t="s">
        <v>75</v>
      </c>
      <c r="B13" s="47" t="s">
        <v>7</v>
      </c>
      <c r="C13" s="55">
        <v>87000</v>
      </c>
    </row>
    <row r="14" spans="1:8" ht="17.25">
      <c r="A14" s="54" t="s">
        <v>77</v>
      </c>
      <c r="B14" s="47" t="s">
        <v>13</v>
      </c>
      <c r="C14" s="55">
        <v>43000</v>
      </c>
    </row>
    <row r="15" spans="1:8" ht="17.25">
      <c r="A15" s="54" t="s">
        <v>76</v>
      </c>
      <c r="B15" s="47" t="s">
        <v>7</v>
      </c>
      <c r="C15" s="55">
        <v>41000</v>
      </c>
    </row>
    <row r="16" spans="1:8" ht="17.25">
      <c r="A16" s="54" t="s">
        <v>74</v>
      </c>
      <c r="B16" s="47" t="s">
        <v>7</v>
      </c>
      <c r="C16" s="55">
        <v>88000</v>
      </c>
    </row>
    <row r="17" spans="1:3" ht="17.25">
      <c r="A17" s="53" t="s">
        <v>73</v>
      </c>
      <c r="B17" s="47" t="s">
        <v>13</v>
      </c>
      <c r="C17" s="55">
        <v>55000</v>
      </c>
    </row>
    <row r="18" spans="1:3" ht="17.25">
      <c r="A18" s="53" t="s">
        <v>75</v>
      </c>
      <c r="B18" s="47" t="s">
        <v>13</v>
      </c>
      <c r="C18" s="55">
        <v>81000</v>
      </c>
    </row>
    <row r="19" spans="1:3" ht="17.25">
      <c r="A19" s="54" t="s">
        <v>76</v>
      </c>
      <c r="B19" s="47" t="s">
        <v>7</v>
      </c>
      <c r="C19" s="55">
        <v>71000</v>
      </c>
    </row>
    <row r="20" spans="1:3" ht="17.25">
      <c r="A20" s="54" t="s">
        <v>78</v>
      </c>
      <c r="B20" s="47" t="s">
        <v>7</v>
      </c>
      <c r="C20" s="55">
        <v>51000</v>
      </c>
    </row>
    <row r="21" spans="1:3" ht="17.25">
      <c r="A21" s="56" t="s">
        <v>77</v>
      </c>
      <c r="B21" s="57" t="s">
        <v>10</v>
      </c>
      <c r="C21" s="58">
        <v>98000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85" zoomScaleNormal="85" workbookViewId="0"/>
  </sheetViews>
  <sheetFormatPr defaultRowHeight="15"/>
  <cols>
    <col min="1" max="1" width="20" style="25" customWidth="1"/>
    <col min="2" max="6" width="10.140625" style="25" customWidth="1"/>
    <col min="7" max="9" width="9.140625" style="25"/>
    <col min="10" max="10" width="10.42578125" style="25" bestFit="1" customWidth="1"/>
    <col min="11" max="11" width="5.5703125" style="25" bestFit="1" customWidth="1"/>
    <col min="12" max="16384" width="9.140625" style="25"/>
  </cols>
  <sheetData>
    <row r="1" spans="1:11" ht="17.25">
      <c r="A1" s="37" t="s">
        <v>55</v>
      </c>
      <c r="B1" s="38" t="s">
        <v>79</v>
      </c>
      <c r="C1" s="38" t="s">
        <v>80</v>
      </c>
      <c r="D1" s="38" t="s">
        <v>81</v>
      </c>
      <c r="E1" s="38" t="s">
        <v>82</v>
      </c>
      <c r="F1" s="39" t="s">
        <v>83</v>
      </c>
    </row>
    <row r="2" spans="1:11" ht="17.25">
      <c r="A2" s="53" t="s">
        <v>60</v>
      </c>
      <c r="B2" s="19" t="s">
        <v>84</v>
      </c>
      <c r="C2" s="19" t="s">
        <v>85</v>
      </c>
      <c r="D2" s="19" t="s">
        <v>84</v>
      </c>
      <c r="E2" s="19" t="s">
        <v>84</v>
      </c>
      <c r="F2" s="35" t="s">
        <v>84</v>
      </c>
    </row>
    <row r="3" spans="1:11" ht="17.25">
      <c r="A3" s="53" t="s">
        <v>61</v>
      </c>
      <c r="B3" s="19" t="s">
        <v>84</v>
      </c>
      <c r="C3" s="19" t="s">
        <v>84</v>
      </c>
      <c r="D3" s="19" t="s">
        <v>84</v>
      </c>
      <c r="E3" s="19" t="s">
        <v>85</v>
      </c>
      <c r="F3" s="35" t="s">
        <v>84</v>
      </c>
    </row>
    <row r="4" spans="1:11" ht="18" thickBot="1">
      <c r="A4" s="53" t="s">
        <v>62</v>
      </c>
      <c r="B4" s="19" t="s">
        <v>85</v>
      </c>
      <c r="C4" s="19" t="s">
        <v>84</v>
      </c>
      <c r="D4" s="19" t="s">
        <v>84</v>
      </c>
      <c r="E4" s="19" t="s">
        <v>84</v>
      </c>
      <c r="F4" s="35" t="s">
        <v>84</v>
      </c>
    </row>
    <row r="5" spans="1:11" ht="18" thickBot="1">
      <c r="A5" s="53" t="s">
        <v>63</v>
      </c>
      <c r="B5" s="19" t="s">
        <v>84</v>
      </c>
      <c r="C5" s="19" t="s">
        <v>85</v>
      </c>
      <c r="D5" s="19" t="s">
        <v>85</v>
      </c>
      <c r="E5" s="19" t="s">
        <v>84</v>
      </c>
      <c r="F5" s="35" t="s">
        <v>85</v>
      </c>
      <c r="J5" s="24" t="s">
        <v>34</v>
      </c>
      <c r="K5" s="24" t="s">
        <v>134</v>
      </c>
    </row>
    <row r="6" spans="1:11" ht="18" thickBot="1">
      <c r="A6" s="59" t="s">
        <v>62</v>
      </c>
      <c r="B6" s="19" t="s">
        <v>84</v>
      </c>
      <c r="C6" s="19" t="s">
        <v>85</v>
      </c>
      <c r="D6" s="19" t="s">
        <v>85</v>
      </c>
      <c r="E6" s="19" t="s">
        <v>84</v>
      </c>
      <c r="F6" s="35" t="s">
        <v>85</v>
      </c>
      <c r="J6" s="24" t="s">
        <v>132</v>
      </c>
      <c r="K6" s="24">
        <f>COUNTIF(B2:F21,"P")</f>
        <v>61</v>
      </c>
    </row>
    <row r="7" spans="1:11" ht="18" thickBot="1">
      <c r="A7" s="59" t="s">
        <v>61</v>
      </c>
      <c r="B7" s="19" t="s">
        <v>84</v>
      </c>
      <c r="C7" s="19" t="s">
        <v>85</v>
      </c>
      <c r="D7" s="19" t="s">
        <v>84</v>
      </c>
      <c r="E7" s="19" t="s">
        <v>85</v>
      </c>
      <c r="F7" s="35" t="s">
        <v>84</v>
      </c>
      <c r="J7" s="24" t="s">
        <v>133</v>
      </c>
      <c r="K7" s="24">
        <f>COUNTIF(B2:F21,"A")</f>
        <v>39</v>
      </c>
    </row>
    <row r="8" spans="1:11" ht="17.25">
      <c r="A8" s="59" t="s">
        <v>62</v>
      </c>
      <c r="B8" s="19" t="s">
        <v>85</v>
      </c>
      <c r="C8" s="19" t="s">
        <v>84</v>
      </c>
      <c r="D8" s="19" t="s">
        <v>85</v>
      </c>
      <c r="E8" s="19" t="s">
        <v>84</v>
      </c>
      <c r="F8" s="35" t="s">
        <v>85</v>
      </c>
    </row>
    <row r="9" spans="1:11" ht="17.25">
      <c r="A9" s="59" t="s">
        <v>60</v>
      </c>
      <c r="B9" s="19" t="s">
        <v>84</v>
      </c>
      <c r="C9" s="19" t="s">
        <v>84</v>
      </c>
      <c r="D9" s="19" t="s">
        <v>85</v>
      </c>
      <c r="E9" s="19" t="s">
        <v>84</v>
      </c>
      <c r="F9" s="35" t="s">
        <v>85</v>
      </c>
    </row>
    <row r="10" spans="1:11" ht="17.25">
      <c r="A10" s="59" t="s">
        <v>61</v>
      </c>
      <c r="B10" s="19" t="s">
        <v>84</v>
      </c>
      <c r="C10" s="19" t="s">
        <v>84</v>
      </c>
      <c r="D10" s="19" t="s">
        <v>84</v>
      </c>
      <c r="E10" s="19" t="s">
        <v>84</v>
      </c>
      <c r="F10" s="35" t="s">
        <v>85</v>
      </c>
    </row>
    <row r="11" spans="1:11" ht="17.25">
      <c r="A11" s="59" t="s">
        <v>63</v>
      </c>
      <c r="B11" s="19" t="s">
        <v>84</v>
      </c>
      <c r="C11" s="19" t="s">
        <v>84</v>
      </c>
      <c r="D11" s="19" t="s">
        <v>85</v>
      </c>
      <c r="E11" s="19" t="s">
        <v>85</v>
      </c>
      <c r="F11" s="35" t="s">
        <v>84</v>
      </c>
    </row>
    <row r="12" spans="1:11" ht="17.25">
      <c r="A12" s="59" t="s">
        <v>61</v>
      </c>
      <c r="B12" s="19" t="s">
        <v>85</v>
      </c>
      <c r="C12" s="19" t="s">
        <v>85</v>
      </c>
      <c r="D12" s="19" t="s">
        <v>84</v>
      </c>
      <c r="E12" s="19" t="s">
        <v>84</v>
      </c>
      <c r="F12" s="35" t="s">
        <v>85</v>
      </c>
    </row>
    <row r="13" spans="1:11" ht="17.25">
      <c r="A13" s="59" t="s">
        <v>62</v>
      </c>
      <c r="B13" s="19" t="s">
        <v>84</v>
      </c>
      <c r="C13" s="19" t="s">
        <v>84</v>
      </c>
      <c r="D13" s="19" t="s">
        <v>85</v>
      </c>
      <c r="E13" s="19" t="s">
        <v>84</v>
      </c>
      <c r="F13" s="35" t="s">
        <v>85</v>
      </c>
    </row>
    <row r="14" spans="1:11" ht="17.25">
      <c r="A14" s="59" t="s">
        <v>63</v>
      </c>
      <c r="B14" s="19" t="s">
        <v>84</v>
      </c>
      <c r="C14" s="19" t="s">
        <v>84</v>
      </c>
      <c r="D14" s="19" t="s">
        <v>84</v>
      </c>
      <c r="E14" s="19" t="s">
        <v>84</v>
      </c>
      <c r="F14" s="35" t="s">
        <v>84</v>
      </c>
    </row>
    <row r="15" spans="1:11" ht="17.25">
      <c r="A15" s="59" t="s">
        <v>63</v>
      </c>
      <c r="B15" s="19" t="s">
        <v>84</v>
      </c>
      <c r="C15" s="19" t="s">
        <v>84</v>
      </c>
      <c r="D15" s="19" t="s">
        <v>84</v>
      </c>
      <c r="E15" s="19" t="s">
        <v>84</v>
      </c>
      <c r="F15" s="35" t="s">
        <v>85</v>
      </c>
    </row>
    <row r="16" spans="1:11" ht="17.25">
      <c r="A16" s="59" t="s">
        <v>60</v>
      </c>
      <c r="B16" s="19" t="s">
        <v>84</v>
      </c>
      <c r="C16" s="19" t="s">
        <v>85</v>
      </c>
      <c r="D16" s="19" t="s">
        <v>85</v>
      </c>
      <c r="E16" s="19" t="s">
        <v>84</v>
      </c>
      <c r="F16" s="35" t="s">
        <v>85</v>
      </c>
    </row>
    <row r="17" spans="1:6" ht="17.25">
      <c r="A17" s="59" t="s">
        <v>63</v>
      </c>
      <c r="B17" s="19" t="s">
        <v>84</v>
      </c>
      <c r="C17" s="19" t="s">
        <v>84</v>
      </c>
      <c r="D17" s="19" t="s">
        <v>84</v>
      </c>
      <c r="E17" s="19" t="s">
        <v>85</v>
      </c>
      <c r="F17" s="35" t="s">
        <v>84</v>
      </c>
    </row>
    <row r="18" spans="1:6" ht="17.25">
      <c r="A18" s="59" t="s">
        <v>63</v>
      </c>
      <c r="B18" s="19" t="s">
        <v>84</v>
      </c>
      <c r="C18" s="19" t="s">
        <v>84</v>
      </c>
      <c r="D18" s="19" t="s">
        <v>85</v>
      </c>
      <c r="E18" s="19" t="s">
        <v>84</v>
      </c>
      <c r="F18" s="35" t="s">
        <v>85</v>
      </c>
    </row>
    <row r="19" spans="1:6" ht="17.25">
      <c r="A19" s="59" t="s">
        <v>63</v>
      </c>
      <c r="B19" s="19" t="s">
        <v>85</v>
      </c>
      <c r="C19" s="19" t="s">
        <v>84</v>
      </c>
      <c r="D19" s="19" t="s">
        <v>85</v>
      </c>
      <c r="E19" s="19" t="s">
        <v>84</v>
      </c>
      <c r="F19" s="35" t="s">
        <v>85</v>
      </c>
    </row>
    <row r="20" spans="1:6" ht="17.25">
      <c r="A20" s="59" t="s">
        <v>62</v>
      </c>
      <c r="B20" s="19" t="s">
        <v>84</v>
      </c>
      <c r="C20" s="19" t="s">
        <v>84</v>
      </c>
      <c r="D20" s="19" t="s">
        <v>85</v>
      </c>
      <c r="E20" s="19" t="s">
        <v>85</v>
      </c>
      <c r="F20" s="35" t="s">
        <v>84</v>
      </c>
    </row>
    <row r="21" spans="1:6" ht="17.25">
      <c r="A21" s="60" t="s">
        <v>60</v>
      </c>
      <c r="B21" s="30" t="s">
        <v>85</v>
      </c>
      <c r="C21" s="30" t="s">
        <v>85</v>
      </c>
      <c r="D21" s="30" t="s">
        <v>84</v>
      </c>
      <c r="E21" s="30" t="s">
        <v>84</v>
      </c>
      <c r="F21" s="61" t="s">
        <v>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="85" zoomScaleNormal="85" workbookViewId="0"/>
  </sheetViews>
  <sheetFormatPr defaultRowHeight="15"/>
  <cols>
    <col min="1" max="1" width="13.5703125" style="51" customWidth="1"/>
    <col min="2" max="2" width="19.28515625" style="51" customWidth="1"/>
    <col min="3" max="4" width="9.140625" style="25"/>
    <col min="5" max="5" width="15.7109375" style="25" customWidth="1"/>
    <col min="6" max="6" width="9.28515625" style="25" bestFit="1" customWidth="1"/>
    <col min="7" max="16384" width="9.140625" style="25"/>
  </cols>
  <sheetData>
    <row r="1" spans="1:6" ht="17.25">
      <c r="A1" s="37" t="s">
        <v>86</v>
      </c>
      <c r="B1" s="39" t="s">
        <v>37</v>
      </c>
    </row>
    <row r="2" spans="1:6" ht="17.25">
      <c r="A2" s="53" t="s">
        <v>87</v>
      </c>
      <c r="B2" s="35">
        <v>4500</v>
      </c>
    </row>
    <row r="3" spans="1:6" ht="17.25">
      <c r="A3" s="53" t="s">
        <v>88</v>
      </c>
      <c r="B3" s="35">
        <v>12000</v>
      </c>
      <c r="E3" s="45" t="s">
        <v>124</v>
      </c>
    </row>
    <row r="4" spans="1:6" ht="17.25">
      <c r="A4" s="53" t="s">
        <v>89</v>
      </c>
      <c r="B4" s="35">
        <v>8000</v>
      </c>
      <c r="E4" s="45" t="s">
        <v>149</v>
      </c>
      <c r="F4" s="50">
        <v>496000</v>
      </c>
    </row>
    <row r="5" spans="1:6" ht="17.25">
      <c r="A5" s="53" t="s">
        <v>90</v>
      </c>
      <c r="B5" s="35">
        <v>25000</v>
      </c>
      <c r="E5" s="45" t="s">
        <v>150</v>
      </c>
      <c r="F5" s="17">
        <v>15300</v>
      </c>
    </row>
    <row r="6" spans="1:6" ht="17.25">
      <c r="A6" s="53" t="s">
        <v>91</v>
      </c>
      <c r="B6" s="35">
        <v>3000</v>
      </c>
    </row>
    <row r="7" spans="1:6" ht="17.25">
      <c r="A7" s="53" t="s">
        <v>92</v>
      </c>
      <c r="B7" s="35">
        <v>15000</v>
      </c>
    </row>
    <row r="8" spans="1:6" ht="17.25">
      <c r="A8" s="53" t="s">
        <v>135</v>
      </c>
      <c r="B8" s="35">
        <v>6000</v>
      </c>
    </row>
    <row r="9" spans="1:6" ht="17.25">
      <c r="A9" s="53" t="s">
        <v>136</v>
      </c>
      <c r="B9" s="62">
        <v>9000</v>
      </c>
    </row>
    <row r="10" spans="1:6" ht="17.25">
      <c r="A10" s="53" t="s">
        <v>137</v>
      </c>
      <c r="B10" s="62">
        <v>25000</v>
      </c>
    </row>
    <row r="11" spans="1:6" ht="17.25">
      <c r="A11" s="53" t="s">
        <v>138</v>
      </c>
      <c r="B11" s="62">
        <v>50000</v>
      </c>
    </row>
    <row r="12" spans="1:6" ht="17.25">
      <c r="A12" s="53" t="s">
        <v>139</v>
      </c>
      <c r="B12" s="62">
        <v>45000</v>
      </c>
    </row>
    <row r="13" spans="1:6" ht="17.25">
      <c r="A13" s="53" t="s">
        <v>140</v>
      </c>
      <c r="B13" s="62">
        <v>79000</v>
      </c>
    </row>
    <row r="14" spans="1:6" ht="17.25">
      <c r="A14" s="53" t="s">
        <v>141</v>
      </c>
      <c r="B14" s="62">
        <v>4000</v>
      </c>
    </row>
    <row r="15" spans="1:6" ht="17.25">
      <c r="A15" s="53" t="s">
        <v>142</v>
      </c>
      <c r="B15" s="35">
        <v>9000</v>
      </c>
    </row>
    <row r="16" spans="1:6" ht="17.25">
      <c r="A16" s="53" t="s">
        <v>143</v>
      </c>
      <c r="B16" s="62">
        <v>3800</v>
      </c>
    </row>
    <row r="17" spans="1:2" ht="17.25">
      <c r="A17" s="53" t="s">
        <v>144</v>
      </c>
      <c r="B17" s="35">
        <v>66000</v>
      </c>
    </row>
    <row r="18" spans="1:2" ht="17.25">
      <c r="A18" s="53" t="s">
        <v>145</v>
      </c>
      <c r="B18" s="35">
        <v>71000</v>
      </c>
    </row>
    <row r="19" spans="1:2" ht="17.25">
      <c r="A19" s="53" t="s">
        <v>146</v>
      </c>
      <c r="B19" s="35">
        <v>7500</v>
      </c>
    </row>
    <row r="20" spans="1:2" ht="17.25">
      <c r="A20" s="53" t="s">
        <v>147</v>
      </c>
      <c r="B20" s="35">
        <v>23000</v>
      </c>
    </row>
    <row r="21" spans="1:2" ht="17.25">
      <c r="A21" s="63" t="s">
        <v>148</v>
      </c>
      <c r="B21" s="61">
        <v>85000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85" zoomScaleNormal="85" workbookViewId="0"/>
  </sheetViews>
  <sheetFormatPr defaultRowHeight="15"/>
  <cols>
    <col min="1" max="1" width="14.28515625" style="52" bestFit="1" customWidth="1"/>
    <col min="2" max="2" width="19.28515625" style="25" customWidth="1"/>
    <col min="3" max="16384" width="9.140625" style="25"/>
  </cols>
  <sheetData>
    <row r="1" spans="1:2" ht="17.25">
      <c r="A1" s="37" t="s">
        <v>93</v>
      </c>
      <c r="B1" s="39" t="s">
        <v>37</v>
      </c>
    </row>
    <row r="2" spans="1:2" ht="17.25">
      <c r="A2" s="53" t="s">
        <v>94</v>
      </c>
      <c r="B2" s="35">
        <v>22000</v>
      </c>
    </row>
    <row r="3" spans="1:2" ht="17.25">
      <c r="A3" s="53" t="s">
        <v>95</v>
      </c>
      <c r="B3" s="35">
        <v>3500</v>
      </c>
    </row>
    <row r="4" spans="1:2" ht="17.25">
      <c r="A4" s="53" t="s">
        <v>96</v>
      </c>
      <c r="B4" s="35">
        <v>58000</v>
      </c>
    </row>
    <row r="5" spans="1:2" ht="17.25">
      <c r="A5" s="53" t="s">
        <v>97</v>
      </c>
      <c r="B5" s="35">
        <v>1800</v>
      </c>
    </row>
    <row r="6" spans="1:2" ht="17.25">
      <c r="A6" s="53" t="s">
        <v>98</v>
      </c>
      <c r="B6" s="35">
        <v>12000</v>
      </c>
    </row>
    <row r="7" spans="1:2" ht="17.25">
      <c r="A7" s="64" t="s">
        <v>98</v>
      </c>
      <c r="B7" s="55">
        <v>50000</v>
      </c>
    </row>
    <row r="8" spans="1:2" ht="17.25">
      <c r="A8" s="64" t="s">
        <v>94</v>
      </c>
      <c r="B8" s="55">
        <v>76000</v>
      </c>
    </row>
    <row r="9" spans="1:2" ht="17.25">
      <c r="A9" s="64" t="s">
        <v>96</v>
      </c>
      <c r="B9" s="55">
        <v>9800</v>
      </c>
    </row>
    <row r="10" spans="1:2" ht="17.25">
      <c r="A10" s="64" t="s">
        <v>95</v>
      </c>
      <c r="B10" s="55">
        <v>25000</v>
      </c>
    </row>
    <row r="11" spans="1:2" ht="17.25">
      <c r="A11" s="64" t="s">
        <v>96</v>
      </c>
      <c r="B11" s="55">
        <v>4000</v>
      </c>
    </row>
    <row r="12" spans="1:2" ht="17.25">
      <c r="A12" s="64" t="s">
        <v>95</v>
      </c>
      <c r="B12" s="55">
        <v>92000</v>
      </c>
    </row>
    <row r="13" spans="1:2" ht="17.25">
      <c r="A13" s="64" t="s">
        <v>95</v>
      </c>
      <c r="B13" s="55">
        <v>6700</v>
      </c>
    </row>
    <row r="14" spans="1:2" ht="17.25">
      <c r="A14" s="64" t="s">
        <v>98</v>
      </c>
      <c r="B14" s="55">
        <v>89000</v>
      </c>
    </row>
    <row r="15" spans="1:2" ht="17.25">
      <c r="A15" s="64" t="s">
        <v>97</v>
      </c>
      <c r="B15" s="55">
        <v>99000</v>
      </c>
    </row>
    <row r="16" spans="1:2" ht="17.25">
      <c r="A16" s="64" t="s">
        <v>95</v>
      </c>
      <c r="B16" s="55">
        <v>61000</v>
      </c>
    </row>
    <row r="17" spans="1:2" ht="17.25">
      <c r="A17" s="64" t="s">
        <v>95</v>
      </c>
      <c r="B17" s="55">
        <v>10000</v>
      </c>
    </row>
    <row r="18" spans="1:2" ht="17.25">
      <c r="A18" s="64" t="s">
        <v>94</v>
      </c>
      <c r="B18" s="55">
        <v>45000</v>
      </c>
    </row>
    <row r="19" spans="1:2" ht="17.25">
      <c r="A19" s="64" t="s">
        <v>98</v>
      </c>
      <c r="B19" s="55">
        <v>3200</v>
      </c>
    </row>
    <row r="20" spans="1:2" ht="17.25">
      <c r="A20" s="64" t="s">
        <v>96</v>
      </c>
      <c r="B20" s="55">
        <v>56000</v>
      </c>
    </row>
    <row r="21" spans="1:2" ht="17.25">
      <c r="A21" s="65" t="s">
        <v>97</v>
      </c>
      <c r="B21" s="58">
        <v>79000</v>
      </c>
    </row>
  </sheetData>
  <conditionalFormatting sqref="D4">
    <cfRule type="cellIs" dxfId="17" priority="3" operator="greaterThan">
      <formula>20000</formula>
    </cfRule>
  </conditionalFormatting>
  <conditionalFormatting sqref="B2:B21">
    <cfRule type="cellIs" dxfId="16" priority="1" operator="lessThan">
      <formula>5000</formula>
    </cfRule>
    <cfRule type="cellIs" dxfId="15" priority="2" operator="greaterThan">
      <formula>20000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zoomScale="85" zoomScaleNormal="85" workbookViewId="0"/>
  </sheetViews>
  <sheetFormatPr defaultColWidth="12.28515625" defaultRowHeight="15"/>
  <cols>
    <col min="1" max="1" width="10" style="25" bestFit="1" customWidth="1"/>
    <col min="2" max="2" width="8.5703125" style="25" bestFit="1" customWidth="1"/>
    <col min="3" max="3" width="8.7109375" style="25" bestFit="1" customWidth="1"/>
    <col min="4" max="16384" width="12.28515625" style="25"/>
  </cols>
  <sheetData>
    <row r="1" spans="1:3" ht="17.25">
      <c r="A1" s="18" t="s">
        <v>54</v>
      </c>
      <c r="B1" s="18" t="s">
        <v>1</v>
      </c>
      <c r="C1" s="18" t="s">
        <v>99</v>
      </c>
    </row>
    <row r="2" spans="1:3" ht="17.25">
      <c r="A2" s="19">
        <v>1</v>
      </c>
      <c r="B2" s="19" t="s">
        <v>77</v>
      </c>
      <c r="C2" s="19">
        <v>85</v>
      </c>
    </row>
    <row r="3" spans="1:3" ht="17.25">
      <c r="A3" s="19">
        <v>2</v>
      </c>
      <c r="B3" s="19" t="s">
        <v>100</v>
      </c>
      <c r="C3" s="19">
        <v>72</v>
      </c>
    </row>
    <row r="4" spans="1:3" ht="17.25">
      <c r="A4" s="19">
        <v>3</v>
      </c>
      <c r="B4" s="19" t="s">
        <v>101</v>
      </c>
      <c r="C4" s="19">
        <v>39</v>
      </c>
    </row>
    <row r="5" spans="1:3" ht="17.25">
      <c r="A5" s="19">
        <v>4</v>
      </c>
      <c r="B5" s="19" t="s">
        <v>102</v>
      </c>
      <c r="C5" s="19">
        <v>91</v>
      </c>
    </row>
    <row r="6" spans="1:3" ht="17.25">
      <c r="A6" s="19">
        <v>5</v>
      </c>
      <c r="B6" s="19" t="s">
        <v>103</v>
      </c>
      <c r="C6" s="19">
        <v>28</v>
      </c>
    </row>
    <row r="7" spans="1:3" ht="17.25">
      <c r="A7" s="19">
        <v>6</v>
      </c>
      <c r="B7" s="46" t="s">
        <v>101</v>
      </c>
      <c r="C7" s="46">
        <v>87</v>
      </c>
    </row>
    <row r="8" spans="1:3" ht="17.25">
      <c r="A8" s="19">
        <v>7</v>
      </c>
      <c r="B8" s="46" t="s">
        <v>101</v>
      </c>
      <c r="C8" s="46">
        <v>45</v>
      </c>
    </row>
    <row r="9" spans="1:3" ht="17.25">
      <c r="A9" s="19">
        <v>8</v>
      </c>
      <c r="B9" s="46" t="s">
        <v>102</v>
      </c>
      <c r="C9" s="46">
        <v>90</v>
      </c>
    </row>
    <row r="10" spans="1:3" ht="17.25">
      <c r="A10" s="19">
        <v>9</v>
      </c>
      <c r="B10" s="46" t="s">
        <v>77</v>
      </c>
      <c r="C10" s="46">
        <v>21</v>
      </c>
    </row>
    <row r="11" spans="1:3" ht="17.25">
      <c r="A11" s="19">
        <v>10</v>
      </c>
      <c r="B11" s="46" t="s">
        <v>103</v>
      </c>
      <c r="C11" s="46">
        <v>67</v>
      </c>
    </row>
    <row r="12" spans="1:3" ht="17.25">
      <c r="A12" s="19">
        <v>11</v>
      </c>
      <c r="B12" s="46" t="s">
        <v>102</v>
      </c>
      <c r="C12" s="46">
        <v>84</v>
      </c>
    </row>
    <row r="13" spans="1:3" ht="17.25">
      <c r="A13" s="19">
        <v>12</v>
      </c>
      <c r="B13" s="46" t="s">
        <v>100</v>
      </c>
      <c r="C13" s="46">
        <v>22</v>
      </c>
    </row>
    <row r="14" spans="1:3" ht="17.25">
      <c r="A14" s="19">
        <v>13</v>
      </c>
      <c r="B14" s="46" t="s">
        <v>101</v>
      </c>
      <c r="C14" s="46">
        <v>54</v>
      </c>
    </row>
    <row r="15" spans="1:3" ht="17.25">
      <c r="A15" s="19">
        <v>14</v>
      </c>
      <c r="B15" s="46" t="s">
        <v>101</v>
      </c>
      <c r="C15" s="46">
        <v>47</v>
      </c>
    </row>
    <row r="16" spans="1:3" ht="17.25">
      <c r="A16" s="19">
        <v>15</v>
      </c>
      <c r="B16" s="46" t="s">
        <v>77</v>
      </c>
      <c r="C16" s="46">
        <v>99</v>
      </c>
    </row>
    <row r="17" spans="1:3" ht="17.25">
      <c r="A17" s="19">
        <v>16</v>
      </c>
      <c r="B17" s="46" t="s">
        <v>103</v>
      </c>
      <c r="C17" s="46">
        <v>87</v>
      </c>
    </row>
    <row r="18" spans="1:3" ht="17.25">
      <c r="A18" s="19">
        <v>17</v>
      </c>
      <c r="B18" s="46" t="s">
        <v>102</v>
      </c>
      <c r="C18" s="46">
        <v>86</v>
      </c>
    </row>
    <row r="19" spans="1:3" ht="17.25">
      <c r="A19" s="19">
        <v>18</v>
      </c>
      <c r="B19" s="46" t="s">
        <v>101</v>
      </c>
      <c r="C19" s="46">
        <v>98</v>
      </c>
    </row>
    <row r="20" spans="1:3" ht="17.25">
      <c r="A20" s="19">
        <v>19</v>
      </c>
      <c r="B20" s="46" t="s">
        <v>100</v>
      </c>
      <c r="C20" s="46">
        <v>94</v>
      </c>
    </row>
    <row r="21" spans="1:3" ht="17.25">
      <c r="A21" s="19">
        <v>20</v>
      </c>
      <c r="B21" s="46" t="s">
        <v>101</v>
      </c>
      <c r="C21" s="46">
        <v>70</v>
      </c>
    </row>
  </sheetData>
  <conditionalFormatting sqref="C2">
    <cfRule type="cellIs" dxfId="8" priority="3" operator="lessThan">
      <formula>"4$C$2:$C$21"</formula>
    </cfRule>
  </conditionalFormatting>
  <conditionalFormatting sqref="C2:C21">
    <cfRule type="cellIs" dxfId="7" priority="2" operator="lessThan">
      <formula>40</formula>
    </cfRule>
    <cfRule type="cellIs" dxfId="6" priority="1" operator="greaterThan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85" zoomScaleNormal="85" workbookViewId="0">
      <selection sqref="A1:B21"/>
    </sheetView>
  </sheetViews>
  <sheetFormatPr defaultRowHeight="15"/>
  <cols>
    <col min="1" max="1" width="12.7109375" style="25" bestFit="1" customWidth="1"/>
    <col min="2" max="2" width="9.28515625" style="25" bestFit="1" customWidth="1"/>
    <col min="3" max="16384" width="9.140625" style="25"/>
  </cols>
  <sheetData>
    <row r="1" spans="1:2" ht="35.25" thickBot="1">
      <c r="A1" s="24" t="s">
        <v>72</v>
      </c>
      <c r="B1" s="24" t="s">
        <v>3</v>
      </c>
    </row>
    <row r="2" spans="1:2" ht="18" thickBot="1">
      <c r="A2" s="16" t="s">
        <v>104</v>
      </c>
      <c r="B2" s="2">
        <v>28000</v>
      </c>
    </row>
    <row r="3" spans="1:2" ht="18" thickBot="1">
      <c r="A3" s="16" t="s">
        <v>105</v>
      </c>
      <c r="B3" s="2">
        <v>34000</v>
      </c>
    </row>
    <row r="4" spans="1:2" ht="18" thickBot="1">
      <c r="A4" s="16" t="s">
        <v>106</v>
      </c>
      <c r="B4" s="2">
        <v>51000</v>
      </c>
    </row>
    <row r="5" spans="1:2" ht="18" thickBot="1">
      <c r="A5" s="16" t="s">
        <v>107</v>
      </c>
      <c r="B5" s="2">
        <v>47000</v>
      </c>
    </row>
    <row r="6" spans="1:2" ht="18" thickBot="1">
      <c r="A6" s="16" t="s">
        <v>108</v>
      </c>
      <c r="B6" s="2">
        <v>29000</v>
      </c>
    </row>
    <row r="7" spans="1:2" ht="17.25">
      <c r="A7" s="66" t="str">
        <f ca="1">CHOOSE(RANDBETWEEN(1,5),"Rohit","Simran","Vijay","Nisha","Mohan")</f>
        <v>Nisha</v>
      </c>
      <c r="B7" s="67">
        <f ca="1">RANDBETWEEN(20000, 100000)</f>
        <v>53557</v>
      </c>
    </row>
    <row r="8" spans="1:2" ht="17.25">
      <c r="A8" s="66" t="str">
        <f t="shared" ref="A8:A21" ca="1" si="0">CHOOSE(RANDBETWEEN(1,5),"Rohit","Simran","Vijay","Nisha","Mohan")</f>
        <v>Rohit</v>
      </c>
      <c r="B8" s="67">
        <f t="shared" ref="B8:B21" ca="1" si="1">RANDBETWEEN(20000, 100000)</f>
        <v>93063</v>
      </c>
    </row>
    <row r="9" spans="1:2" ht="17.25">
      <c r="A9" s="66" t="str">
        <f t="shared" ca="1" si="0"/>
        <v>Simran</v>
      </c>
      <c r="B9" s="67">
        <f t="shared" ca="1" si="1"/>
        <v>30825</v>
      </c>
    </row>
    <row r="10" spans="1:2" ht="17.25">
      <c r="A10" s="66" t="str">
        <f t="shared" ca="1" si="0"/>
        <v>Rohit</v>
      </c>
      <c r="B10" s="67">
        <f t="shared" ca="1" si="1"/>
        <v>60341</v>
      </c>
    </row>
    <row r="11" spans="1:2" ht="17.25">
      <c r="A11" s="66" t="str">
        <f t="shared" ca="1" si="0"/>
        <v>Rohit</v>
      </c>
      <c r="B11" s="67">
        <f t="shared" ca="1" si="1"/>
        <v>65418</v>
      </c>
    </row>
    <row r="12" spans="1:2" ht="17.25">
      <c r="A12" s="66" t="str">
        <f t="shared" ca="1" si="0"/>
        <v>Nisha</v>
      </c>
      <c r="B12" s="67">
        <f t="shared" ca="1" si="1"/>
        <v>65660</v>
      </c>
    </row>
    <row r="13" spans="1:2" ht="17.25">
      <c r="A13" s="66" t="str">
        <f t="shared" ca="1" si="0"/>
        <v>Mohan</v>
      </c>
      <c r="B13" s="67">
        <f t="shared" ca="1" si="1"/>
        <v>89752</v>
      </c>
    </row>
    <row r="14" spans="1:2" ht="17.25">
      <c r="A14" s="66" t="str">
        <f t="shared" ca="1" si="0"/>
        <v>Mohan</v>
      </c>
      <c r="B14" s="67">
        <f t="shared" ca="1" si="1"/>
        <v>29438</v>
      </c>
    </row>
    <row r="15" spans="1:2" ht="17.25">
      <c r="A15" s="66" t="str">
        <f t="shared" ca="1" si="0"/>
        <v>Simran</v>
      </c>
      <c r="B15" s="67">
        <f t="shared" ca="1" si="1"/>
        <v>27552</v>
      </c>
    </row>
    <row r="16" spans="1:2" ht="17.25">
      <c r="A16" s="66" t="str">
        <f t="shared" ca="1" si="0"/>
        <v>Nisha</v>
      </c>
      <c r="B16" s="67">
        <f t="shared" ca="1" si="1"/>
        <v>61305</v>
      </c>
    </row>
    <row r="17" spans="1:2" ht="17.25">
      <c r="A17" s="66" t="str">
        <f t="shared" ca="1" si="0"/>
        <v>Mohan</v>
      </c>
      <c r="B17" s="67">
        <f t="shared" ca="1" si="1"/>
        <v>65138</v>
      </c>
    </row>
    <row r="18" spans="1:2" ht="17.25">
      <c r="A18" s="66" t="str">
        <f t="shared" ca="1" si="0"/>
        <v>Simran</v>
      </c>
      <c r="B18" s="67">
        <f t="shared" ca="1" si="1"/>
        <v>49904</v>
      </c>
    </row>
    <row r="19" spans="1:2" ht="17.25">
      <c r="A19" s="66" t="str">
        <f t="shared" ca="1" si="0"/>
        <v>Rohit</v>
      </c>
      <c r="B19" s="67">
        <f t="shared" ca="1" si="1"/>
        <v>28402</v>
      </c>
    </row>
    <row r="20" spans="1:2" ht="17.25">
      <c r="A20" s="66" t="str">
        <f t="shared" ca="1" si="0"/>
        <v>Rohit</v>
      </c>
      <c r="B20" s="67">
        <f t="shared" ca="1" si="1"/>
        <v>86188</v>
      </c>
    </row>
    <row r="21" spans="1:2" ht="17.25">
      <c r="A21" s="66" t="str">
        <f t="shared" ca="1" si="0"/>
        <v>Nisha</v>
      </c>
      <c r="B21" s="67">
        <f t="shared" ca="1" si="1"/>
        <v>67561</v>
      </c>
    </row>
  </sheetData>
  <conditionalFormatting sqref="B2:B21">
    <cfRule type="cellIs" dxfId="5" priority="6" operator="greaterThan">
      <formula>5000</formula>
    </cfRule>
    <cfRule type="cellIs" dxfId="4" priority="5" operator="lessThan">
      <formula>3000</formula>
    </cfRule>
    <cfRule type="cellIs" dxfId="3" priority="4" operator="greaterThan">
      <formula>50000</formula>
    </cfRule>
    <cfRule type="cellIs" dxfId="2" priority="3" operator="lessThan">
      <formula>30000</formula>
    </cfRule>
    <cfRule type="cellIs" dxfId="1" priority="2" operator="between">
      <formula>30000</formula>
      <formula>49999</formula>
    </cfRule>
    <cfRule type="cellIs" dxfId="0" priority="1" operator="between">
      <formula>30000</formula>
      <formula>49999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2026-06-23T14:35:10Z</dcterms:created>
  <dcterms:modified xsi:type="dcterms:W3CDTF">2026-06-23T19:49:19Z</dcterms:modified>
</cp:coreProperties>
</file>