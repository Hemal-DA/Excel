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8520" tabRatio="354"/>
  </bookViews>
  <sheets>
    <sheet name="Employee_Data" sheetId="1" r:id="rId1"/>
  </sheets>
  <calcPr calcId="145621"/>
</workbook>
</file>

<file path=xl/calcChain.xml><?xml version="1.0" encoding="utf-8"?>
<calcChain xmlns="http://schemas.openxmlformats.org/spreadsheetml/2006/main">
  <c r="S15" i="1" l="1"/>
  <c r="S12" i="1"/>
  <c r="R9" i="1"/>
  <c r="R6" i="1"/>
  <c r="S3" i="1"/>
  <c r="M9" i="1"/>
  <c r="N15" i="1"/>
  <c r="M12" i="1"/>
  <c r="N3" i="1"/>
  <c r="M6" i="1"/>
</calcChain>
</file>

<file path=xl/sharedStrings.xml><?xml version="1.0" encoding="utf-8"?>
<sst xmlns="http://schemas.openxmlformats.org/spreadsheetml/2006/main" count="116" uniqueCount="57">
  <si>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</si>
  <si>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</si>
  <si>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</si>
  <si>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</si>
  <si>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</si>
  <si>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</si>
  <si>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</si>
  <si>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</si>
  <si>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</si>
  <si>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</si>
  <si>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</si>
  <si>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</si>
  <si>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</si>
  <si>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</si>
  <si>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</si>
  <si>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</si>
  <si>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</si>
  <si>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</si>
  <si>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</si>
  <si>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</si>
  <si>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</si>
  <si>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</si>
  <si>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</si>
  <si>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</si>
  <si>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</si>
  <si>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</si>
  <si>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</si>
  <si>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</si>
  <si>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</si>
  <si>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</si>
  <si>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</si>
  <si>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</si>
  <si>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</si>
  <si>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</si>
  <si>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Find the Name of employee using EmployeeID from Search_Input.</t>
  </si>
  <si>
    <t>Find the Department of employee with ID E103.</t>
  </si>
  <si>
    <t>Find the Salary of employee Neha Singh using VLOOKUP.</t>
  </si>
  <si>
    <t>Get the Location of employee E107.</t>
  </si>
  <si>
    <t>If EmployeeID is not found, display "Not Found".</t>
  </si>
  <si>
    <t>E111</t>
  </si>
  <si>
    <t>Find the JoiningYear of employee E101</t>
  </si>
  <si>
    <t>Bonus Amount</t>
  </si>
  <si>
    <t xml:space="preserve">Bonus Amount </t>
  </si>
  <si>
    <t>Find the Bonus % for IT department</t>
  </si>
  <si>
    <t>Find the Bonus % for Finance department.</t>
  </si>
  <si>
    <t>Calculate Bonus Amount for employee E104</t>
  </si>
  <si>
    <t>If department is invalid, display "No Bonus Data".</t>
  </si>
  <si>
    <t xml:space="preserve">Bonus </t>
  </si>
  <si>
    <t>Sales Executive</t>
  </si>
  <si>
    <t>Find Salary using EmployeeID.</t>
  </si>
  <si>
    <t>Find Department using Employee Name.</t>
  </si>
  <si>
    <t>Employee Name</t>
  </si>
  <si>
    <t>Fetch Location of employee Rohit Verma.</t>
  </si>
  <si>
    <t> Rohit Verma</t>
  </si>
  <si>
    <t>If EmployeeID = E999, return "Employee Not Found".</t>
  </si>
  <si>
    <t xml:space="preserve">Find Bonus % using XLOOKUP from Department_Bonus (horizontal lookup).
</t>
  </si>
  <si>
    <t>Department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</si>
</sst>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rgb="FF1F2328"/>
      <name val="Segoe UI"/>
      <family val="2"/>
    </font>
    <font>
      <b/>
      <sz val="20"/>
      <color rgb="FF1F2328"/>
      <name val="Segoe UI"/>
      <family val="2"/>
    </font>
    <font>
      <sz val="12"/>
      <color theme="1"/>
      <name val="Segeo ui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Fill="1" applyBorder="1" applyAlignment="1">
      <alignment horizontal="right" vertical="center" wrapText="1" inden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2" fillId="4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 wrapText="1" indent="1"/>
    </xf>
    <xf numFmtId="0" fontId="6" fillId="0" borderId="1" xfId="0" applyFont="1" applyFill="1" applyBorder="1" applyAlignment="1">
      <alignment horizontal="left" vertical="center" wrapText="1" indent="1"/>
    </xf>
    <xf numFmtId="9" fontId="0" fillId="0" borderId="1" xfId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5" fillId="0" borderId="1" xfId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zoomScaleNormal="100" workbookViewId="0"/>
  </sheetViews>
  <sheetFormatPr defaultRowHeight="15.75"/>
  <cols>
    <col min="1" max="1" width="18.28515625" style="3" customWidth="1"/>
    <col min="2" max="5" width="12.42578125" style="3" customWidth="1"/>
    <col min="6" max="6" width="15.28515625" style="3" customWidth="1"/>
    <col min="7" max="8" width="12.42578125" style="13" customWidth="1"/>
    <col min="9" max="9" width="12.42578125" style="3" customWidth="1"/>
    <col min="10" max="11" width="9.140625" style="3"/>
    <col min="12" max="12" width="9.140625" style="10"/>
    <col min="13" max="13" width="18.42578125" style="10" customWidth="1"/>
    <col min="14" max="14" width="20.28515625" style="10" customWidth="1"/>
    <col min="15" max="17" width="9.140625" style="3"/>
    <col min="18" max="18" width="20.5703125" style="3" customWidth="1"/>
    <col min="19" max="19" width="27.85546875" style="3" customWidth="1"/>
    <col min="20" max="22" width="9.140625" style="3"/>
    <col min="23" max="23" width="16.28515625" style="3" customWidth="1"/>
    <col min="24" max="24" width="22.140625" style="3" customWidth="1"/>
    <col min="25" max="16384" width="9.140625" style="3"/>
  </cols>
  <sheetData>
    <row r="1" spans="1:24" ht="34.5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33</v>
      </c>
      <c r="H1" s="16" t="s">
        <v>41</v>
      </c>
      <c r="L1" s="8">
        <v>1</v>
      </c>
      <c r="M1" s="11" t="s">
        <v>34</v>
      </c>
      <c r="N1" s="12"/>
      <c r="Q1" s="8">
        <v>6</v>
      </c>
      <c r="R1" s="25" t="s">
        <v>40</v>
      </c>
      <c r="S1" s="26"/>
      <c r="V1" s="8">
        <v>11</v>
      </c>
      <c r="W1" s="25" t="s">
        <v>49</v>
      </c>
      <c r="X1" s="26"/>
    </row>
    <row r="2" spans="1:24" ht="34.5">
      <c r="A2" s="32" t="s">
        <v>6</v>
      </c>
      <c r="B2" s="32" t="s">
        <v>7</v>
      </c>
      <c r="C2" s="32" t="s">
        <v>8</v>
      </c>
      <c r="D2" s="32" t="s">
        <v>9</v>
      </c>
      <c r="E2" s="32">
        <v>45000</v>
      </c>
      <c r="F2" s="32">
        <v>2019</v>
      </c>
      <c r="G2" s="19">
        <v>0.1</v>
      </c>
      <c r="H2" s="20">
        <v>4500</v>
      </c>
      <c r="M2" s="2" t="s">
        <v>0</v>
      </c>
      <c r="N2" s="2" t="s">
        <v>1</v>
      </c>
      <c r="Q2" s="10"/>
      <c r="R2" s="2" t="s">
        <v>0</v>
      </c>
      <c r="S2" s="1" t="s">
        <v>5</v>
      </c>
      <c r="W2" s="2" t="s">
        <v>4</v>
      </c>
      <c r="X2" s="2" t="s">
        <v>0</v>
      </c>
    </row>
    <row r="3" spans="1:24" ht="34.5">
      <c r="A3" s="32" t="s">
        <v>10</v>
      </c>
      <c r="B3" s="32" t="s">
        <v>11</v>
      </c>
      <c r="C3" s="32" t="s">
        <v>12</v>
      </c>
      <c r="D3" s="32" t="s">
        <v>13</v>
      </c>
      <c r="E3" s="32">
        <v>52000</v>
      </c>
      <c r="F3" s="32">
        <v>2018</v>
      </c>
      <c r="G3" s="19">
        <v>0.08</v>
      </c>
      <c r="H3" s="20">
        <v>4160</v>
      </c>
      <c r="M3" s="9" t="s">
        <v>25</v>
      </c>
      <c r="N3" s="9" t="str">
        <f>VLOOKUP(M3,A1:F9,2,0)</f>
        <v>Pooja Mehta</v>
      </c>
      <c r="Q3" s="10"/>
      <c r="R3" s="9" t="s">
        <v>6</v>
      </c>
      <c r="S3" s="9">
        <f>VLOOKUP(R3,A1:F9,6,0)</f>
        <v>2019</v>
      </c>
    </row>
    <row r="4" spans="1:24" ht="34.5">
      <c r="A4" s="32" t="s">
        <v>14</v>
      </c>
      <c r="B4" s="32" t="s">
        <v>15</v>
      </c>
      <c r="C4" s="32" t="s">
        <v>16</v>
      </c>
      <c r="D4" s="32" t="s">
        <v>17</v>
      </c>
      <c r="E4" s="32">
        <v>65000</v>
      </c>
      <c r="F4" s="32">
        <v>2020</v>
      </c>
      <c r="G4" s="19">
        <v>0.12</v>
      </c>
      <c r="H4" s="20">
        <v>7800</v>
      </c>
      <c r="L4" s="8">
        <v>2</v>
      </c>
      <c r="M4" s="11" t="s">
        <v>35</v>
      </c>
      <c r="N4" s="12"/>
      <c r="Q4" s="8">
        <v>7</v>
      </c>
      <c r="R4" s="25" t="s">
        <v>43</v>
      </c>
      <c r="S4" s="26"/>
      <c r="V4" s="8">
        <v>12</v>
      </c>
      <c r="W4" s="25" t="s">
        <v>50</v>
      </c>
      <c r="X4" s="26"/>
    </row>
    <row r="5" spans="1:24" ht="34.5">
      <c r="A5" s="32" t="s">
        <v>18</v>
      </c>
      <c r="B5" s="32" t="s">
        <v>19</v>
      </c>
      <c r="C5" s="32" t="s">
        <v>20</v>
      </c>
      <c r="D5" s="32" t="s">
        <v>21</v>
      </c>
      <c r="E5" s="32">
        <v>58000</v>
      </c>
      <c r="F5" s="32">
        <v>2017</v>
      </c>
      <c r="G5" s="19">
        <v>0.15</v>
      </c>
      <c r="H5" s="20">
        <v>8700</v>
      </c>
      <c r="M5" s="2" t="s">
        <v>2</v>
      </c>
      <c r="N5" s="2" t="s">
        <v>0</v>
      </c>
      <c r="Q5" s="10"/>
      <c r="R5" s="23" t="s">
        <v>33</v>
      </c>
      <c r="S5" s="5" t="s">
        <v>2</v>
      </c>
      <c r="W5" s="2" t="s">
        <v>2</v>
      </c>
      <c r="X5" s="2" t="s">
        <v>51</v>
      </c>
    </row>
    <row r="6" spans="1:24" ht="34.5">
      <c r="A6" s="32" t="s">
        <v>22</v>
      </c>
      <c r="B6" s="32" t="s">
        <v>23</v>
      </c>
      <c r="C6" s="32" t="s">
        <v>24</v>
      </c>
      <c r="D6" s="32" t="s">
        <v>9</v>
      </c>
      <c r="E6" s="32">
        <v>48000</v>
      </c>
      <c r="F6" s="32">
        <v>2021</v>
      </c>
      <c r="G6" s="19">
        <v>0.09</v>
      </c>
      <c r="H6" s="20">
        <v>4320</v>
      </c>
      <c r="M6" s="9" t="str">
        <f>VLOOKUP(N6,A1:F9,3,0)</f>
        <v>IT</v>
      </c>
      <c r="N6" s="6" t="s">
        <v>14</v>
      </c>
      <c r="Q6" s="10"/>
      <c r="R6" s="24">
        <f>HLOOKUP(S6,A12:F13,2,0)</f>
        <v>0.12</v>
      </c>
      <c r="S6" s="10" t="s">
        <v>16</v>
      </c>
    </row>
    <row r="7" spans="1:24" ht="34.5">
      <c r="A7" s="32" t="s">
        <v>25</v>
      </c>
      <c r="B7" s="32" t="s">
        <v>26</v>
      </c>
      <c r="C7" s="32" t="s">
        <v>16</v>
      </c>
      <c r="D7" s="32" t="s">
        <v>27</v>
      </c>
      <c r="E7" s="32">
        <v>62000</v>
      </c>
      <c r="F7" s="32">
        <v>2019</v>
      </c>
      <c r="G7" s="19">
        <v>0.12</v>
      </c>
      <c r="H7" s="20">
        <v>7440</v>
      </c>
      <c r="L7" s="8">
        <v>3</v>
      </c>
      <c r="M7" s="11" t="s">
        <v>36</v>
      </c>
      <c r="N7" s="12"/>
      <c r="Q7" s="8">
        <v>8</v>
      </c>
      <c r="R7" s="25" t="s">
        <v>44</v>
      </c>
      <c r="S7" s="26"/>
      <c r="V7" s="8">
        <v>13</v>
      </c>
      <c r="W7" s="25" t="s">
        <v>52</v>
      </c>
      <c r="X7" s="26"/>
    </row>
    <row r="8" spans="1:24" ht="34.5">
      <c r="A8" s="32" t="s">
        <v>28</v>
      </c>
      <c r="B8" s="32" t="s">
        <v>29</v>
      </c>
      <c r="C8" s="32" t="s">
        <v>8</v>
      </c>
      <c r="D8" s="32" t="s">
        <v>30</v>
      </c>
      <c r="E8" s="32">
        <v>47000</v>
      </c>
      <c r="F8" s="32">
        <v>2020</v>
      </c>
      <c r="G8" s="19">
        <v>0.1</v>
      </c>
      <c r="H8" s="20">
        <v>4700</v>
      </c>
      <c r="M8" s="2" t="s">
        <v>4</v>
      </c>
      <c r="N8" s="2" t="s">
        <v>1</v>
      </c>
      <c r="Q8" s="10"/>
      <c r="R8" s="23" t="s">
        <v>33</v>
      </c>
      <c r="S8" s="5" t="s">
        <v>2</v>
      </c>
      <c r="W8" s="2" t="s">
        <v>3</v>
      </c>
      <c r="X8" s="2" t="s">
        <v>51</v>
      </c>
    </row>
    <row r="9" spans="1:24" ht="17.25">
      <c r="A9" s="32" t="s">
        <v>31</v>
      </c>
      <c r="B9" s="32" t="s">
        <v>32</v>
      </c>
      <c r="C9" s="32" t="s">
        <v>12</v>
      </c>
      <c r="D9" s="32" t="s">
        <v>17</v>
      </c>
      <c r="E9" s="32">
        <v>54000</v>
      </c>
      <c r="F9" s="32">
        <v>2016</v>
      </c>
      <c r="G9" s="19">
        <v>0.08</v>
      </c>
      <c r="H9" s="20">
        <v>4320</v>
      </c>
      <c r="M9" s="9">
        <f>VLOOKUP(N9,B1:F9,4,0)</f>
        <v>58000</v>
      </c>
      <c r="N9" s="6" t="s">
        <v>19</v>
      </c>
      <c r="Q9" s="10"/>
      <c r="R9" s="28">
        <f>HLOOKUP(S9,A12:F13,2,0)</f>
        <v>0.15</v>
      </c>
      <c r="S9" s="29" t="s">
        <v>20</v>
      </c>
      <c r="X9" s="6" t="s">
        <v>53</v>
      </c>
    </row>
    <row r="10" spans="1:24" ht="30.75">
      <c r="A10" s="14"/>
      <c r="B10" s="14"/>
      <c r="C10" s="14"/>
      <c r="D10" s="14"/>
      <c r="E10" s="14"/>
      <c r="F10" s="14"/>
      <c r="L10" s="8">
        <v>4</v>
      </c>
      <c r="M10" s="11" t="s">
        <v>37</v>
      </c>
      <c r="N10" s="12"/>
      <c r="Q10" s="8">
        <v>9</v>
      </c>
      <c r="R10" s="25" t="s">
        <v>45</v>
      </c>
      <c r="S10" s="26"/>
      <c r="V10" s="8">
        <v>14</v>
      </c>
      <c r="W10" s="25" t="s">
        <v>54</v>
      </c>
      <c r="X10" s="26"/>
    </row>
    <row r="11" spans="1:24" ht="34.5">
      <c r="A11" s="15" t="s">
        <v>0</v>
      </c>
      <c r="B11" s="17" t="s">
        <v>6</v>
      </c>
      <c r="C11" s="17" t="s">
        <v>10</v>
      </c>
      <c r="D11" s="17" t="s">
        <v>14</v>
      </c>
      <c r="E11" s="17" t="s">
        <v>18</v>
      </c>
      <c r="F11" s="17" t="s">
        <v>22</v>
      </c>
      <c r="G11" s="17" t="s">
        <v>25</v>
      </c>
      <c r="H11" s="17" t="s">
        <v>28</v>
      </c>
      <c r="I11" s="17" t="s">
        <v>31</v>
      </c>
      <c r="M11" s="2" t="s">
        <v>3</v>
      </c>
      <c r="N11" s="2" t="s">
        <v>0</v>
      </c>
      <c r="Q11" s="10"/>
      <c r="R11" s="4" t="s">
        <v>0</v>
      </c>
      <c r="S11" s="23" t="s">
        <v>42</v>
      </c>
      <c r="W11" s="2" t="s">
        <v>0</v>
      </c>
      <c r="X11" s="2" t="s">
        <v>51</v>
      </c>
    </row>
    <row r="12" spans="1:24" ht="17.25">
      <c r="A12" s="16" t="s">
        <v>2</v>
      </c>
      <c r="B12" s="18" t="s">
        <v>8</v>
      </c>
      <c r="C12" s="18" t="s">
        <v>12</v>
      </c>
      <c r="D12" s="18" t="s">
        <v>16</v>
      </c>
      <c r="E12" s="18" t="s">
        <v>20</v>
      </c>
      <c r="F12" s="18" t="s">
        <v>24</v>
      </c>
      <c r="G12" s="18" t="s">
        <v>16</v>
      </c>
      <c r="H12" s="18" t="s">
        <v>8</v>
      </c>
      <c r="I12" s="18" t="s">
        <v>12</v>
      </c>
      <c r="M12" s="30" t="str">
        <f>VLOOKUP(N12,A1:F9,4,0)</f>
        <v>Hyderabad</v>
      </c>
      <c r="N12" s="30" t="s">
        <v>28</v>
      </c>
      <c r="Q12" s="10"/>
      <c r="R12" s="9" t="s">
        <v>18</v>
      </c>
      <c r="S12" s="9">
        <f>HLOOKUP(R12,A11:I14,4,0)</f>
        <v>8700</v>
      </c>
    </row>
    <row r="13" spans="1:24" ht="30.75">
      <c r="A13" s="22" t="s">
        <v>33</v>
      </c>
      <c r="B13" s="19">
        <v>0.1</v>
      </c>
      <c r="C13" s="19">
        <v>0.08</v>
      </c>
      <c r="D13" s="19">
        <v>0.12</v>
      </c>
      <c r="E13" s="19">
        <v>0.15</v>
      </c>
      <c r="F13" s="19">
        <v>0.09</v>
      </c>
      <c r="G13" s="19">
        <v>0.12</v>
      </c>
      <c r="H13" s="19">
        <v>0.1</v>
      </c>
      <c r="I13" s="19">
        <v>0.08</v>
      </c>
      <c r="L13" s="8">
        <v>5</v>
      </c>
      <c r="M13" s="11" t="s">
        <v>38</v>
      </c>
      <c r="N13" s="12"/>
      <c r="Q13" s="8">
        <v>10</v>
      </c>
      <c r="R13" s="25" t="s">
        <v>46</v>
      </c>
      <c r="S13" s="26"/>
      <c r="V13" s="8">
        <v>15</v>
      </c>
      <c r="W13" s="25" t="s">
        <v>55</v>
      </c>
      <c r="X13" s="26"/>
    </row>
    <row r="14" spans="1:24" ht="34.5">
      <c r="A14" s="22" t="s">
        <v>42</v>
      </c>
      <c r="B14" s="20">
        <v>4500</v>
      </c>
      <c r="C14" s="20">
        <v>4160</v>
      </c>
      <c r="D14" s="20">
        <v>7800</v>
      </c>
      <c r="E14" s="20">
        <v>8700</v>
      </c>
      <c r="F14" s="20">
        <v>4320</v>
      </c>
      <c r="G14" s="20">
        <v>7440</v>
      </c>
      <c r="H14" s="20">
        <v>4700</v>
      </c>
      <c r="I14" s="20">
        <v>4320</v>
      </c>
      <c r="M14" s="2" t="s">
        <v>0</v>
      </c>
      <c r="N14" s="2" t="s">
        <v>1</v>
      </c>
      <c r="Q14" s="10"/>
      <c r="R14" s="27" t="s">
        <v>2</v>
      </c>
      <c r="S14" s="23" t="s">
        <v>47</v>
      </c>
      <c r="W14" s="31" t="s">
        <v>33</v>
      </c>
      <c r="X14" s="5" t="s">
        <v>56</v>
      </c>
    </row>
    <row r="15" spans="1:24" ht="17.25">
      <c r="A15" s="21"/>
      <c r="B15" s="21"/>
      <c r="C15" s="21"/>
      <c r="D15" s="21"/>
      <c r="E15" s="21"/>
      <c r="F15" s="21"/>
      <c r="G15" s="7"/>
      <c r="H15" s="7"/>
      <c r="I15" s="7"/>
      <c r="M15" s="9" t="s">
        <v>39</v>
      </c>
      <c r="N15" s="9" t="str">
        <f>IFERROR(VLOOKUP(M15,A1:F9,2,0),"Not Found")</f>
        <v>Not Found</v>
      </c>
      <c r="Q15" s="10"/>
      <c r="R15" s="9" t="s">
        <v>48</v>
      </c>
      <c r="S15" s="9" t="str">
        <f>IFERROR(HLOOKUP(R15,A11:I14,3,0),"No Bonus Data")</f>
        <v>No Bonus Data</v>
      </c>
    </row>
    <row r="16" spans="1:24" ht="17.25">
      <c r="A16" s="7"/>
      <c r="B16" s="7"/>
      <c r="C16" s="7"/>
      <c r="D16" s="7"/>
      <c r="E16" s="7"/>
      <c r="F16" s="7"/>
      <c r="G16" s="7"/>
      <c r="H16" s="7"/>
      <c r="I16" s="7"/>
    </row>
    <row r="17" spans="1:9" ht="17.25">
      <c r="A17" s="7"/>
      <c r="B17" s="7"/>
      <c r="C17" s="7"/>
      <c r="D17" s="7"/>
      <c r="E17" s="7"/>
      <c r="F17" s="7"/>
      <c r="G17" s="7"/>
      <c r="H17" s="7"/>
      <c r="I17" s="7"/>
    </row>
    <row r="18" spans="1:9" ht="17.25">
      <c r="A18" s="7"/>
      <c r="B18" s="7"/>
      <c r="C18" s="7"/>
      <c r="D18" s="7"/>
      <c r="E18" s="7"/>
      <c r="F18" s="7"/>
      <c r="G18" s="7"/>
      <c r="H18" s="7"/>
      <c r="I18" s="7"/>
    </row>
    <row r="19" spans="1:9" ht="17.25">
      <c r="A19" s="7"/>
      <c r="B19" s="7"/>
      <c r="C19" s="7"/>
      <c r="D19" s="7"/>
      <c r="E19" s="7"/>
      <c r="F19" s="7"/>
      <c r="G19" s="7"/>
      <c r="H19" s="7"/>
      <c r="I19" s="7"/>
    </row>
    <row r="20" spans="1:9" ht="17.25">
      <c r="A20" s="7"/>
      <c r="B20" s="7"/>
      <c r="C20" s="7"/>
      <c r="D20" s="7"/>
      <c r="E20" s="7"/>
      <c r="F20" s="7"/>
      <c r="G20" s="7"/>
      <c r="H20" s="7"/>
      <c r="I20" s="7"/>
    </row>
    <row r="21" spans="1:9" ht="17.25">
      <c r="A21" s="7"/>
      <c r="B21" s="7"/>
      <c r="C21" s="7"/>
      <c r="D21" s="7"/>
      <c r="E21" s="7"/>
      <c r="F21" s="7"/>
      <c r="G21" s="7"/>
      <c r="H21" s="7"/>
      <c r="I21" s="7"/>
    </row>
    <row r="22" spans="1:9" ht="17.25">
      <c r="A22" s="7"/>
      <c r="B22" s="7"/>
      <c r="C22" s="7"/>
      <c r="D22" s="7"/>
      <c r="E22" s="7"/>
      <c r="F22" s="7"/>
      <c r="G22" s="7"/>
      <c r="H22" s="7"/>
      <c r="I22" s="7"/>
    </row>
  </sheetData>
  <mergeCells count="15">
    <mergeCell ref="R4:S4"/>
    <mergeCell ref="R7:S7"/>
    <mergeCell ref="R10:S10"/>
    <mergeCell ref="R13:S13"/>
    <mergeCell ref="R1:S1"/>
    <mergeCell ref="W1:X1"/>
    <mergeCell ref="W4:X4"/>
    <mergeCell ref="W7:X7"/>
    <mergeCell ref="W10:X10"/>
    <mergeCell ref="W13:X13"/>
    <mergeCell ref="M1:N1"/>
    <mergeCell ref="M4:N4"/>
    <mergeCell ref="M7:N7"/>
    <mergeCell ref="M10:N10"/>
    <mergeCell ref="M13:N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2026-06-29T09:41:20Z</dcterms:created>
  <dcterms:modified xsi:type="dcterms:W3CDTF">2026-06-29T11:45:49Z</dcterms:modified>
</cp:coreProperties>
</file>